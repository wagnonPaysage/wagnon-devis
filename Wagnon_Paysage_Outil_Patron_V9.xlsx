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xl/drawings/drawing1.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821"/>
  <workbookPr/>
  <xr:revisionPtr revIDLastSave="0" documentId="8_{2BCE9CAD-350C-7B4A-A9D8-4371C2F628A2}" xr6:coauthVersionLast="47" xr6:coauthVersionMax="47" xr10:uidLastSave="{00000000-0000-0000-0000-000000000000}"/>
  <bookViews>
    <workbookView activeTab="0" windowHeight="0" windowWidth="0" xWindow="0" xr2:uid="{00000000-000D-0000-FFFF-FFFF00000000}" yWindow="0"/>
  </bookViews>
  <sheets>
    <sheet name="Mode Chantier V9" sheetId="1" r:id="rId1"/>
    <sheet name="Devis terrain" sheetId="2" r:id="rId2"/>
    <sheet name="Paramètres" sheetId="3" r:id="rId3"/>
    <sheet name="Calculette" sheetId="4" r:id="rId4"/>
    <sheet name="Clients" sheetId="5" r:id="rId5"/>
    <sheet name="Devis" sheetId="6" r:id="rId6"/>
    <sheet name="CA mensuel" sheetId="7" r:id="rId7"/>
    <sheet name="Frais" sheetId="8" r:id="rId8"/>
    <sheet name="Tableau de bord" sheetId="9" r:id="rId9"/>
    <sheet name="Tonte" sheetId="10" r:id="rId10"/>
    <sheet name="Débroussaillage" sheetId="11" r:id="rId11"/>
    <sheet name="Plantation" sheetId="12" r:id="rId12"/>
    <sheet name="Base Clients V9" sheetId="13" r:id="rId13"/>
    <sheet name="Suivi Devis V9" sheetId="14" r:id="rId14"/>
  </sheets>
  <definedNames>
    <definedName name="_xlnm._FilterDatabase" localSheetId="4" hidden="1">Clients!$A$1:$K$500</definedName>
    <definedName name="_xlnm._FilterDatabase" localSheetId="5" hidden="1">Devis!$A$1:$K$500</definedName>
    <definedName name="_xlnm._FilterDatabase" localSheetId="7" hidden="1">Frais!$A$1:$F$1000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<sst xmlns="http://schemas.openxmlformats.org/spreadsheetml/2006/main" count="166" uniqueCount="132">
  <si>
    <t>WAGNON PAYSAGE — MODE CHANTIER</t>
  </si>
  <si>
    <t>Nom du client</t>
  </si>
  <si>
    <t>Adresse</t>
  </si>
  <si>
    <t>Téléphone</t>
  </si>
  <si>
    <t>Distance aller (km)</t>
  </si>
  <si>
    <t>Longueur de haie (m)</t>
  </si>
  <si>
    <t>Hauteur de haie (m)</t>
  </si>
  <si>
    <t>Évacuation des déchets</t>
  </si>
  <si>
    <t>Oui</t>
  </si>
  <si>
    <t>Nettoyage fin de chantier</t>
  </si>
  <si>
    <t>ESTIMATION RAPIDE</t>
  </si>
  <si>
    <t>Prix conseillé taille de haie (€/m)</t>
  </si>
  <si>
    <t>Montant estimé HT</t>
  </si>
  <si>
    <t>Check-list avant départ</t>
  </si>
  <si>
    <t>✓ Photos avant chantier</t>
  </si>
  <si>
    <t>✓ Validation du client</t>
  </si>
  <si>
    <t>✓ Matériel chargé</t>
  </si>
  <si>
    <t>✓ Déchets prévus</t>
  </si>
  <si>
    <t>WAGNON PAYSAGE – DEVIS TERRAIN V3</t>
  </si>
  <si>
    <t>Valeur</t>
  </si>
  <si>
    <t>Prestation</t>
  </si>
  <si>
    <t>Taille de haie</t>
  </si>
  <si>
    <t>Mètres linéaires</t>
  </si>
  <si>
    <t>Hauteur (m)</t>
  </si>
  <si>
    <t>Faces à tailler</t>
  </si>
  <si>
    <t>État / difficulté (1=facile, 1.25=difficile)</t>
  </si>
  <si>
    <t>Temps de base (h)</t>
  </si>
  <si>
    <t>Temps nettoyage/chargement (h)</t>
  </si>
  <si>
    <t>Km aller-retour</t>
  </si>
  <si>
    <t>Déchets verts (€)</t>
  </si>
  <si>
    <t>Fournitures (€)</t>
  </si>
  <si>
    <t>CALCUL AUTOMATIQUE</t>
  </si>
  <si>
    <t>Temps de travail estimé (h)</t>
  </si>
  <si>
    <t>Main-d'œuvre (€)</t>
  </si>
  <si>
    <t>Déplacement (€)</t>
  </si>
  <si>
    <t>Marge fournitures (€)</t>
  </si>
  <si>
    <t>Coût direct estimé (€)</t>
  </si>
  <si>
    <t>Marge sécurité (€)</t>
  </si>
  <si>
    <t>PRIX CONSEILLÉ (€)</t>
  </si>
  <si>
    <t>PRIX ARRONDI (€)</t>
  </si>
  <si>
    <t>Prix / mètre linéaire (€)</t>
  </si>
  <si>
    <t>Conseil</t>
  </si>
  <si>
    <t>Le temps de base est à adapter après tes premiers chantiers : note le temps réel, puis ajuste tes références.</t>
  </si>
  <si>
    <t>WAGNON PAYSAGE – PARAMÈTRES</t>
  </si>
  <si>
    <t>Tarif interne cible €/h</t>
  </si>
  <si>
    <t>Coût véhicule €/km</t>
  </si>
  <si>
    <t>Marge sécurité %</t>
  </si>
  <si>
    <t>Marge fournitures %</t>
  </si>
  <si>
    <t>Objectif CA annuel</t>
  </si>
  <si>
    <t>Objectif CA mensuel</t>
  </si>
  <si>
    <t>Important</t>
  </si>
  <si>
    <t>Les taux sont des hypothèses de pilotage. À valider avec ton comptable selon ton statut et tes coûts réels.</t>
  </si>
  <si>
    <t>WAGNON PAYSAGE – CALCULETTE DEVIS</t>
  </si>
  <si>
    <t>Haie</t>
  </si>
  <si>
    <t>Temps de travail (h)</t>
  </si>
  <si>
    <t>Déchets / déchèterie (€)</t>
  </si>
  <si>
    <t>Quantité / unités (info)</t>
  </si>
  <si>
    <t>CALCUL</t>
  </si>
  <si>
    <t>Main-d'œuvre</t>
  </si>
  <si>
    <t>Déplacement</t>
  </si>
  <si>
    <t>Marge fournitures</t>
  </si>
  <si>
    <t>Sous-total</t>
  </si>
  <si>
    <t>Marge sécurité</t>
  </si>
  <si>
    <t>PRIX CONSEILLÉ</t>
  </si>
  <si>
    <t>PRIX ARRONDI</t>
  </si>
  <si>
    <t>Prix minimum à discuter</t>
  </si>
  <si>
    <t>Mode d'emploi</t>
  </si>
  <si>
    <t>Modifie uniquement les cellules jaunes/bleues d'entrée. Les cellules de calcul se mettent à jour automatiquement.</t>
  </si>
  <si>
    <t>Client</t>
  </si>
  <si>
    <t>Ville</t>
  </si>
  <si>
    <t>Email</t>
  </si>
  <si>
    <t>Prix devis</t>
  </si>
  <si>
    <t>Date devis</t>
  </si>
  <si>
    <t>Statut</t>
  </si>
  <si>
    <t>Dernier passage</t>
  </si>
  <si>
    <t>Prochain passage</t>
  </si>
  <si>
    <t>Notes</t>
  </si>
  <si>
    <t>N° devis</t>
  </si>
  <si>
    <t>Temps h</t>
  </si>
  <si>
    <t>Km A/R</t>
  </si>
  <si>
    <t>Déchets €</t>
  </si>
  <si>
    <t>Fournitures €</t>
  </si>
  <si>
    <t>Prix conseillé €</t>
  </si>
  <si>
    <t>Prix vendu €</t>
  </si>
  <si>
    <t>Marge brute estimée €</t>
  </si>
  <si>
    <t>Mois</t>
  </si>
  <si>
    <t>CA réalisé €</t>
  </si>
  <si>
    <t>Objectif €</t>
  </si>
  <si>
    <t>Écart €</t>
  </si>
  <si>
    <t>Janvier</t>
  </si>
  <si>
    <t>Février</t>
  </si>
  <si>
    <t>Mars</t>
  </si>
  <si>
    <t>Avril</t>
  </si>
  <si>
    <t>Mai</t>
  </si>
  <si>
    <t>Juin</t>
  </si>
  <si>
    <t>Juillet</t>
  </si>
  <si>
    <t>Août</t>
  </si>
  <si>
    <t>Septembre</t>
  </si>
  <si>
    <t>Octobre</t>
  </si>
  <si>
    <t>Novembre</t>
  </si>
  <si>
    <t>Décembre</t>
  </si>
  <si>
    <t>TOTAL</t>
  </si>
  <si>
    <t>Date</t>
  </si>
  <si>
    <t>Catégorie</t>
  </si>
  <si>
    <t>Description</t>
  </si>
  <si>
    <t>Montant €</t>
  </si>
  <si>
    <t>Professionnel ?</t>
  </si>
  <si>
    <t>WAGNON PAYSAGE – TABLEAU DE BORD PATRON</t>
  </si>
  <si>
    <t>CA saisi à ce jour</t>
  </si>
  <si>
    <t>Reste à faire</t>
  </si>
  <si>
    <t>Clients enregistrés</t>
  </si>
  <si>
    <t>Devis enregistrés</t>
  </si>
  <si>
    <t>Devis acceptés</t>
  </si>
  <si>
    <t>Taux d'acceptation</t>
  </si>
  <si>
    <t>Total frais saisis</t>
  </si>
  <si>
    <t>Utilise 'Devis terrain' pour les haies, puis les onglets Tonte, Débroussaillage ou Plantation selon le chantier.</t>
  </si>
  <si>
    <t>WAGNON PAYSAGE – TONTE</t>
  </si>
  <si>
    <t>Surface m²</t>
  </si>
  <si>
    <t>Temps estimé h</t>
  </si>
  <si>
    <t>Prix conseillé</t>
  </si>
  <si>
    <t>Prix / m²</t>
  </si>
  <si>
    <t>WAGNON PAYSAGE – DÉBROUSSAILLAGE</t>
  </si>
  <si>
    <t>WAGNON PAYSAGE – PLANTATION</t>
  </si>
  <si>
    <t>Autres coûts €</t>
  </si>
  <si>
    <t>Nom</t>
  </si>
  <si>
    <t>N°</t>
  </si>
  <si>
    <t>Montant TTC</t>
  </si>
  <si>
    <t xml:space="preserve">Wagnon </t>
  </si>
  <si>
    <t xml:space="preserve">6 avenue marc Francina </t>
  </si>
  <si>
    <t>07 84 31 26 42</t>
  </si>
  <si>
    <t>À faire,Devis envoyé,Accepté,Refusé,Terminé,À relancer</t>
  </si>
  <si>
    <t>Brouillon,Envoyé,Accepté,Refusé,Terminé</t>
  </si>
  <si>
    <t>Carburant,Duster,Assurance,Remorque,Déchèterie,Matériel,Communication,Téléphone,Comptabilité,Autre</t>
  </si>
  <si>
    <t>Accepté</t>
  </si>
  <si>
    <t>En attente,Accepté,Refusé</t>
  </si>
  <si>
    <t>Wagnon Titou</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</si>
</sst>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16r2="http://schemas.microsoft.com/office/spreadsheetml/2015/02/main" xmlns:xdr="http://schemas.openxmlformats.org/drawingml/2006/spreadsheetDrawing" xmlns:xr="http://schemas.microsoft.com/office/spreadsheetml/2014/revision" count="1" mc:Ignorable="x14ac x16r2 xr">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0.0%"/>
  </numFmts>
  <fonts count="8">
    <font>
      <name val="Calibri"/>
      <family val="2"/>
      <color rgb="FF000000"/>
      <sz val="11"/>
      <scheme val="minor"/>
    </font>
    <font>
      <name val="Calibri"/>
      <b/>
      <color rgb="FFFFFFFF"/>
      <sz val="11"/>
    </font>
    <font>
      <name val="Calibri"/>
      <b/>
      <color rgb="FF000000"/>
      <sz val="11"/>
    </font>
    <font>
      <name val="Calibri"/>
      <b/>
      <color rgb="FF2F6B3F"/>
      <sz val="14"/>
    </font>
    <font>
      <name val="Calibri"/>
      <b/>
      <color rgb="FFFFFFFF"/>
      <sz val="16"/>
    </font>
    <font>
      <name val="Calibri"/>
      <b/>
      <color rgb="FFFFFFFF"/>
      <sz val="20"/>
    </font>
    <font>
      <name val="Calibri"/>
      <b/>
      <color rgb="FF000000"/>
      <sz val="14"/>
    </font>
    <font>
      <name val="Calibri"/>
      <b/>
      <color rgb="FF000000"/>
      <sz val="13"/>
    </font>
  </fonts>
  <fills count="7">
    <fill>
      <patternFill patternType="none"/>
    </fill>
    <fill>
      <patternFill patternType="gray125"/>
    </fill>
    <fill>
      <patternFill patternType="solid">
        <fgColor rgb="FF2F6B3F"/>
      </patternFill>
    </fill>
    <fill>
      <patternFill patternType="solid">
        <fgColor rgb="FFFFF2CC"/>
      </patternFill>
    </fill>
    <fill>
      <patternFill patternType="solid">
        <fgColor rgb="FFEAF2E5"/>
      </patternFill>
    </fill>
    <fill>
      <patternFill patternType="solid">
        <fgColor rgb="FF2E5D3B"/>
      </patternFill>
    </fill>
    <fill>
      <patternFill patternType="solid">
        <fgColor rgb="FFEEF7F0"/>
      </patternFill>
    </fill>
  </fills>
  <borders count="1">
    <border>
      <left style="none">
        <color rgb="FF000000"/>
      </left>
      <right style="none">
        <color rgb="FF000000"/>
      </right>
      <top style="none">
        <color rgb="FF000000"/>
      </top>
      <bottom style="none">
        <color rgb="FF000000"/>
      </bottom>
      <diagonal style="none">
        <color rgb="FF000000"/>
      </diagonal>
    </border>
  </borders>
  <cellStyleXfs count="1">
    <xf numFmtId="0" fontId="0" fillId="0" borderId="0" xfId="0"/>
  </cellStyleXfs>
  <cellXfs count="19">
    <xf numFmtId="0" fontId="0" fillId="0" borderId="0" xfId="0"/>
    <xf numFmtId="0" fontId="1" fillId="2" borderId="0" xfId="0" applyFont="1" applyFill="1" applyAlignment="1">
      <alignment vertical="center"/>
    </xf>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3" fillId="0" borderId="0" xfId="0" applyFont="1" applyAlignment="1">
      <alignment vertical="center"/>
    </xf>
    <xf numFmtId="0" fontId="4" fillId="2" borderId="0" xfId="0" applyFont="1" applyFill="1" applyAlignment="1">
      <alignment vertical="center"/>
    </xf>
    <xf numFmtId="0" fontId="0" fillId="4" borderId="0" xfId="0" applyFill="1" applyAlignment="1">
      <alignment vertical="center"/>
    </xf>
    <xf numFmtId="164" fontId="0" fillId="4" borderId="0" xfId="0" applyNumberFormat="1" applyFill="1" applyAlignment="1">
      <alignment vertical="center"/>
    </xf>
    <xf numFmtId="0" fontId="1" fillId="2" borderId="0" xfId="0" applyFont="1" applyFill="1"/>
    <xf numFmtId="0" fontId="0" fillId="3" borderId="0" xfId="0" applyFill="1"/>
    <xf numFmtId="0" fontId="0" fillId="0" borderId="0" xfId="0" applyAlignment="1">
      <alignment wrapText="1"/>
    </xf>
    <xf numFmtId="0" fontId="2" fillId="0" borderId="0" xfId="0" applyFont="1"/>
    <xf numFmtId="0" fontId="0" fillId="6" borderId="0" xfId="0" applyFill="1"/>
    <xf numFmtId="0" fontId="6" fillId="0" borderId="0" xfId="0" applyFont="1"/>
    <xf numFmtId="0" fontId="7" fillId="0" borderId="0" xfId="0" applyFont="1"/>
    <xf numFmtId="0" fontId="1" fillId="5" borderId="0" xfId="0" applyFont="1" applyFill="1"/>
    <xf numFmtId="0" fontId="5" fillId="5"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10" Type="http://schemas.openxmlformats.org/officeDocument/2006/relationships/worksheet" Target="worksheets/sheet10.xml" TargetMode="Internal"/><Relationship Id="rId11" Type="http://schemas.openxmlformats.org/officeDocument/2006/relationships/worksheet" Target="worksheets/sheet11.xml" TargetMode="Internal"/><Relationship Id="rId12" Type="http://schemas.openxmlformats.org/officeDocument/2006/relationships/worksheet" Target="worksheets/sheet12.xml" TargetMode="Internal"/><Relationship Id="rId13" Type="http://schemas.openxmlformats.org/officeDocument/2006/relationships/worksheet" Target="worksheets/sheet13.xml" TargetMode="Internal"/><Relationship Id="rId14" Type="http://schemas.openxmlformats.org/officeDocument/2006/relationships/worksheet" Target="worksheets/sheet14.xml" TargetMode="Internal"/><Relationship Id="rId15" Type="http://schemas.openxmlformats.org/officeDocument/2006/relationships/theme" Target="theme/theme1.xml" TargetMode="Internal"/><Relationship Id="rId16" Type="http://schemas.openxmlformats.org/officeDocument/2006/relationships/styles" Target="styles.xml" TargetMode="Internal"/><Relationship Id="rId17" Type="http://schemas.openxmlformats.org/officeDocument/2006/relationships/sharedStrings" Target="sharedStrings.xml" TargetMode="Internal"/><Relationship Id="rId18" Type="http://schemas.openxmlformats.org/officeDocument/2006/relationships/calcChain" Target="calcChain.xml" TargetMode="Internal"/><Relationship Id="rId2" Type="http://schemas.openxmlformats.org/officeDocument/2006/relationships/worksheet" Target="worksheets/sheet2.xml" TargetMode="Internal"/><Relationship Id="rId3" Type="http://schemas.openxmlformats.org/officeDocument/2006/relationships/worksheet" Target="worksheets/sheet3.xml" TargetMode="Internal"/><Relationship Id="rId4" Type="http://schemas.openxmlformats.org/officeDocument/2006/relationships/worksheet" Target="worksheets/sheet4.xml" TargetMode="Internal"/><Relationship Id="rId5" Type="http://schemas.openxmlformats.org/officeDocument/2006/relationships/worksheet" Target="worksheets/sheet5.xml" TargetMode="Internal"/><Relationship Id="rId6" Type="http://schemas.openxmlformats.org/officeDocument/2006/relationships/worksheet" Target="worksheets/sheet6.xml" TargetMode="Internal"/><Relationship Id="rId7" Type="http://schemas.openxmlformats.org/officeDocument/2006/relationships/worksheet" Target="worksheets/sheet7.xml" TargetMode="Internal"/><Relationship Id="rId8" Type="http://schemas.openxmlformats.org/officeDocument/2006/relationships/worksheet" Target="worksheets/sheet8.xml" TargetMode="Internal"/><Relationship Id="rId9" Type="http://schemas.openxmlformats.org/officeDocument/2006/relationships/worksheet" Target="worksheets/sheet9.xml" TargetMode="Internal"/></Relationships>
</file>

<file path=xl/charts/chart1.xml><?xml version="1.0" encoding="utf-8"?>
<c:chartSpace xmlns:a="http://schemas.openxmlformats.org/drawingml/2006/main" xmlns:c="http://schemas.openxmlformats.org/drawingml/2006/chart" xmlns:c16r2="http://schemas.microsoft.com/office/drawing/2015/06/chart" xmlns:r="http://schemas.openxmlformats.org/officeDocument/2006/relationships">
  <c:date1904 val="0"/>
  <c:lang val="fr-FR"/>
  <c:roundedCorners val="1"/>
  <c:style val="2"/>
  <c:chart>
    <c:title>
      <c:tx>
        <c:rich>
          <a:bodyPr/>
          <a:lstStyle/>
          <a:p>
            <a:pPr>
              <a:defRPr/>
            </a:pPr>
            <a:r>
              <a:rPr lang="en-US"/>
              <a:t>CA mensuel vs objectif</a:t>
            </a:r>
          </a:p>
        </c:rich>
      </c:tx>
      <c:overlay val="1"/>
    </c:title>
    <c:autoTitleDeleted val="0"/>
    <c:plotArea>
      <c:layout/>
      <c:barChart>
        <c:barDir val="col"/>
        <c:grouping val="clustered"/>
        <c:varyColors val="1"/>
        <c:ser>
          <c:idx val="0"/>
          <c:order val="0"/>
          <c:tx>
            <c:strRef>
              <c:f>'CA mensuel'!B1</c:f>
              <c:strCache>
                <c:ptCount val="1"/>
                <c:pt idx="0">
                  <c:v>CA réalisé €</c:v>
                </c:pt>
              </c:strCache>
            </c:strRef>
          </c:tx>
          <c:spPr>
            <a:ln>
              <a:prstDash val="solid"/>
            </a:ln>
          </c:spPr>
          <c:invertIfNegative val="1"/>
          <c:cat>
            <c:strRef>
              <c:f>'CA mensuel'!$A$2:$A$13</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'CA mensuel'!$B$2:$B$13</c:f>
              <c:numCache>
                <c:formatCode>General</c:formatCode>
                <c:ptCount val="12"/>
              </c:numCache>
            </c:numRef>
          </c:val>
          <c:extLst>
            <c:ext xmlns:c16="http://schemas.microsoft.com/office/drawing/2014/chart" uri="{C3380CC4-5D6E-409C-BE32-E72D297353CC}">
              <c16:uniqueId val="{00000000-5E56-438E-89D2-793C946B43D1}"/>
            </c:ext>
          </c:extLst>
        </c:ser>
        <c:ser>
          <c:idx val="1"/>
          <c:order val="1"/>
          <c:tx>
            <c:strRef>
              <c:f>'CA mensuel'!C1</c:f>
              <c:strCache>
                <c:ptCount val="1"/>
                <c:pt idx="0">
                  <c:v>Objectif €</c:v>
                </c:pt>
              </c:strCache>
            </c:strRef>
          </c:tx>
          <c:spPr>
            <a:ln>
              <a:prstDash val="solid"/>
            </a:ln>
          </c:spPr>
          <c:invertIfNegative val="1"/>
          <c:cat>
            <c:strRef>
              <c:f>'CA mensuel'!$A$2:$A$13</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'CA mensuel'!$C$2:$C$13</c:f>
              <c:numCache>
                <c:formatCode>General</c:formatCode>
                <c:ptCount val="12"/>
                <c:pt idx="0">
                  <c:v>4167</c:v>
                </c:pt>
                <c:pt idx="1">
                  <c:v>4167</c:v>
                </c:pt>
                <c:pt idx="2">
                  <c:v>4167</c:v>
                </c:pt>
                <c:pt idx="3">
                  <c:v>4167</c:v>
                </c:pt>
                <c:pt idx="4">
                  <c:v>4167</c:v>
                </c:pt>
                <c:pt idx="5">
                  <c:v>4167</c:v>
                </c:pt>
                <c:pt idx="6">
                  <c:v>4167</c:v>
                </c:pt>
                <c:pt idx="7">
                  <c:v>4167</c:v>
                </c:pt>
                <c:pt idx="8">
                  <c:v>4167</c:v>
                </c:pt>
                <c:pt idx="9">
                  <c:v>4167</c:v>
                </c:pt>
                <c:pt idx="10">
                  <c:v>4167</c:v>
                </c:pt>
                <c:pt idx="11">
                  <c:v>4167</c:v>
                </c:pt>
              </c:numCache>
            </c:numRef>
          </c:val>
          <c:extLst>
            <c:ext xmlns:c16="http://schemas.microsoft.com/office/drawing/2014/chart" uri="{C3380CC4-5D6E-409C-BE32-E72D297353CC}">
              <c16:uniqueId val="{00000001-5E56-438E-89D2-793C946B43D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Mois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 TargetMode="Interna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tabSelected="1">
      <selection pane="topLeft" activeCell="B4" sqref="B4"/>
    </sheetView>
  </sheetViews>
  <sheetFormatPr baseColWidth="8" defaultRowHeight="15"/>
  <cols>
    <col min="1" max="1" width="27.98046875" customWidth="1"/>
    <col min="2" max="2" width="23.9453125" customWidth="1"/>
    <col min="3" max="4" width="22.05859375" customWidth="1"/>
  </cols>
  <sheetData>
    <row ht="25.5" r="1" spans="1:4" x14ac:dyDescent="0.35">
      <c r="A1" s="17" t="s">
        <v>0</v>
      </c>
      <c r="B1" s="18"/>
      <c r="C1" s="18"/>
      <c r="D1" s="18"/>
    </row>
    <row r="3" spans="1:4" x14ac:dyDescent="0.2">
      <c r="A3" s="12" t="s">
        <v>1</v>
      </c>
      <c r="B3" s="13" t="s">
        <v>135</v>
      </c>
    </row>
    <row r="4" spans="1:4" x14ac:dyDescent="0.2">
      <c r="A4" s="12" t="s">
        <v>2</v>
      </c>
      <c r="B4" s="13" t="s">
        <v>128</v>
      </c>
    </row>
    <row r="5" spans="1:4" x14ac:dyDescent="0.2">
      <c r="A5" s="12" t="s">
        <v>3</v>
      </c>
      <c r="B5" s="13" t="s">
        <v>129</v>
      </c>
    </row>
    <row r="6" spans="1:4" x14ac:dyDescent="0.2">
      <c r="A6" s="12" t="s">
        <v>4</v>
      </c>
      <c r="B6" s="13">
        <v>25</v>
      </c>
    </row>
    <row r="7" spans="1:4" x14ac:dyDescent="0.2">
      <c r="A7" s="12" t="s">
        <v>5</v>
      </c>
      <c r="B7" s="13">
        <v>45</v>
      </c>
    </row>
    <row r="8" spans="1:4" x14ac:dyDescent="0.2">
      <c r="A8" s="12" t="s">
        <v>6</v>
      </c>
      <c r="B8" s="13">
        <v>2</v>
      </c>
    </row>
    <row r="9" spans="1:4" x14ac:dyDescent="0.2">
      <c r="A9" s="12" t="s">
        <v>7</v>
      </c>
      <c r="B9" s="13" t="s">
        <v>8</v>
      </c>
    </row>
    <row r="10" spans="1:4" x14ac:dyDescent="0.2">
      <c r="A10" s="12" t="s">
        <v>9</v>
      </c>
      <c r="B10" s="13" t="s">
        <v>8</v>
      </c>
    </row>
    <row ht="18.75" r="13" spans="1:4" x14ac:dyDescent="0.25">
      <c r="A13" s="14" t="s">
        <v>10</v>
      </c>
    </row>
    <row r="14" spans="1:4" x14ac:dyDescent="0.2">
      <c r="A14" t="s">
        <v>11</v>
      </c>
      <c r="B14" s="13">
        <v>8</v>
      </c>
    </row>
    <row ht="18" r="15" spans="1:4" x14ac:dyDescent="0.25">
      <c r="A15" t="s">
        <v>12</v>
      </c>
      <c r="B15" s="15">
        <f>B7*B14</f>
        <v>360</v>
      </c>
    </row>
    <row ht="18.75" r="17" spans="1:1" x14ac:dyDescent="0.25">
      <c r="A17" s="14" t="s">
        <v>13</v>
      </c>
    </row>
    <row r="18" spans="1:1" x14ac:dyDescent="0.2">
      <c r="A18" t="s">
        <v>14</v>
      </c>
    </row>
    <row r="19" spans="1:1" x14ac:dyDescent="0.2">
      <c r="A19" t="s">
        <v>15</v>
      </c>
    </row>
    <row r="20" spans="1:1" x14ac:dyDescent="0.2">
      <c r="A20" t="s">
        <v>16</v>
      </c>
    </row>
    <row r="21" spans="1:1" x14ac:dyDescent="0.2">
      <c r="A21" t="s">
        <v>17</v>
      </c>
    </row>
  </sheetData>
  <mergeCells count="1">
    <mergeCell ref="A1:D1"/>
  </mergeCells>
  <pageMargins left="0.75" right="0.75" top="1" bottom="1" header="0.5" footer="0.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Views>
    <sheetView showGridLines="0" workbookViewId="0">
      <selection pane="topLeft" activeCell="B4" sqref="B4"/>
    </sheetView>
  </sheetViews>
  <sheetFormatPr baseColWidth="8" defaultRowHeight="15"/>
  <cols>
    <col min="1" max="1" width="41.96875" customWidth="1"/>
    <col min="2" max="2" width="32.015625" customWidth="1"/>
  </cols>
  <sheetData>
    <row r="1" spans="1:2" x14ac:dyDescent="0.2">
      <c r="A1" s="9" t="s">
        <v>18</v>
      </c>
      <c r="B1" s="9" t="s">
        <v>19</v>
      </c>
    </row>
    <row r="2" spans="1:2" x14ac:dyDescent="0.2">
      <c r="A2" t="s">
        <v>20</v>
      </c>
      <c r="B2" s="10" t="s">
        <v>21</v>
      </c>
    </row>
    <row r="3" spans="1:2" x14ac:dyDescent="0.2">
      <c r="A3" t="s">
        <v>22</v>
      </c>
      <c r="B3" s="10">
        <v>45</v>
      </c>
    </row>
    <row r="4" spans="1:2" x14ac:dyDescent="0.2">
      <c r="A4" t="s">
        <v>23</v>
      </c>
      <c r="B4" s="10">
        <v>2</v>
      </c>
    </row>
    <row r="5" spans="1:2" x14ac:dyDescent="0.2">
      <c r="A5" t="s">
        <v>24</v>
      </c>
      <c r="B5" s="10">
        <v>3</v>
      </c>
    </row>
    <row r="6" spans="1:2" x14ac:dyDescent="0.2">
      <c r="A6" t="s">
        <v>25</v>
      </c>
      <c r="B6" s="10">
        <v>1</v>
      </c>
    </row>
    <row r="7" spans="1:2" x14ac:dyDescent="0.2">
      <c r="A7" t="s">
        <v>26</v>
      </c>
      <c r="B7" s="10">
        <v>5</v>
      </c>
    </row>
    <row r="8" spans="1:2" x14ac:dyDescent="0.2">
      <c r="A8" t="s">
        <v>27</v>
      </c>
      <c r="B8" s="10">
        <v>1</v>
      </c>
    </row>
    <row r="9" spans="1:2" x14ac:dyDescent="0.2">
      <c r="A9" t="s">
        <v>28</v>
      </c>
      <c r="B9" s="10">
        <v>40</v>
      </c>
    </row>
    <row r="10" spans="1:2" x14ac:dyDescent="0.2">
      <c r="A10" t="s">
        <v>29</v>
      </c>
      <c r="B10" s="10">
        <v>100</v>
      </c>
    </row>
    <row r="11" spans="1:2" x14ac:dyDescent="0.2">
      <c r="A11" t="s">
        <v>30</v>
      </c>
      <c r="B11" s="10">
        <v>0</v>
      </c>
    </row>
    <row r="14" spans="1:2" x14ac:dyDescent="0.2">
      <c r="A14" s="9" t="s">
        <v>31</v>
      </c>
    </row>
    <row r="15" spans="1:2" x14ac:dyDescent="0.2">
      <c r="A15" t="s">
        <v>32</v>
      </c>
      <c r="B15" s="10">
        <f>B7*B6+B8</f>
        <v>6</v>
      </c>
    </row>
    <row r="16" spans="1:2" x14ac:dyDescent="0.2">
      <c r="A16" t="s">
        <v>33</v>
      </c>
      <c r="B16" s="0">
        <f>B15*Paramètres!B2</f>
        <v>300</v>
      </c>
    </row>
    <row r="17" spans="1:2" x14ac:dyDescent="0.2">
      <c r="A17" t="s">
        <v>34</v>
      </c>
      <c r="B17" s="0">
        <f>B9*Paramètres!B3</f>
        <v>20</v>
      </c>
    </row>
    <row r="18" spans="1:2" x14ac:dyDescent="0.2">
      <c r="A18" t="s">
        <v>35</v>
      </c>
      <c r="B18" s="0">
        <f>B11*Paramètres!B5/100</f>
        <v>0</v>
      </c>
    </row>
    <row r="19" spans="1:2" x14ac:dyDescent="0.2">
      <c r="A19" t="s">
        <v>36</v>
      </c>
      <c r="B19" s="0">
        <f>B16+B17+B10+B11</f>
        <v>420</v>
      </c>
    </row>
    <row r="20" spans="1:2" x14ac:dyDescent="0.2">
      <c r="A20" t="s">
        <v>37</v>
      </c>
      <c r="B20" s="0">
        <f>B19*Paramètres!B4/100</f>
        <v>42</v>
      </c>
    </row>
    <row r="21" spans="1:2" x14ac:dyDescent="0.2">
      <c r="A21" t="s">
        <v>38</v>
      </c>
      <c r="B21" s="0">
        <f>B19+B20+B18</f>
        <v>462</v>
      </c>
    </row>
    <row r="22" spans="1:2" x14ac:dyDescent="0.2">
      <c r="A22" t="s">
        <v>39</v>
      </c>
      <c r="B22" s="0">
        <f>ROUND(B21/5,0)*5</f>
        <v>460</v>
      </c>
    </row>
    <row r="23" spans="1:2" x14ac:dyDescent="0.2">
      <c r="A23" t="s">
        <v>40</v>
      </c>
      <c r="B23" s="0">
        <f>IF(B3=0,0,B22/B3)</f>
        <v>10.2222222222222</v>
      </c>
    </row>
    <row ht="41.25" r="25" spans="1:2" x14ac:dyDescent="0.2">
      <c r="A25" t="s">
        <v>41</v>
      </c>
      <c r="B25" s="11" t="s">
        <v>42</v>
      </c>
    </row>
  </sheetData>
  <pageMargins left="0.75" right="0.75" top="1" bottom="1" header="0.5" footer="0.5"/>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Views>
    <sheetView showGridLines="0" topLeftCell="B1" workbookViewId="0">
      <selection pane="topLeft" activeCell="A1"/>
    </sheetView>
  </sheetViews>
  <sheetFormatPr baseColWidth="8" defaultRowHeight="15"/>
  <cols>
    <col min="1" max="1" width="32.015625" customWidth="1"/>
    <col min="2" max="2" width="69.94921875" customWidth="1"/>
  </cols>
  <sheetData>
    <row r="1" spans="1:2" x14ac:dyDescent="0.2">
      <c r="A1" s="1" t="s">
        <v>43</v>
      </c>
      <c r="B1" s="1" t="s">
        <v>19</v>
      </c>
    </row>
    <row r="2" spans="1:2" x14ac:dyDescent="0.2">
      <c r="A2" s="2" t="s">
        <v>44</v>
      </c>
      <c r="B2" s="2">
        <v>50</v>
      </c>
    </row>
    <row r="3" spans="1:2" x14ac:dyDescent="0.2">
      <c r="A3" s="2" t="s">
        <v>45</v>
      </c>
      <c r="B3" s="2">
        <v>0.5</v>
      </c>
    </row>
    <row r="4" spans="1:2" x14ac:dyDescent="0.2">
      <c r="A4" s="2" t="s">
        <v>46</v>
      </c>
      <c r="B4" s="2">
        <v>10</v>
      </c>
    </row>
    <row r="5" spans="1:2" x14ac:dyDescent="0.2">
      <c r="A5" s="2" t="s">
        <v>47</v>
      </c>
      <c r="B5" s="2">
        <v>20</v>
      </c>
    </row>
    <row r="6" spans="1:2" x14ac:dyDescent="0.2">
      <c r="A6" s="2" t="s">
        <v>48</v>
      </c>
      <c r="B6" s="2">
        <v>50000</v>
      </c>
    </row>
    <row r="7" spans="1:2" x14ac:dyDescent="0.2">
      <c r="A7" s="2" t="s">
        <v>49</v>
      </c>
      <c r="B7" s="2">
        <v>4167</v>
      </c>
    </row>
    <row r="8" spans="1:2" x14ac:dyDescent="0.2">
      <c r="A8" s="2"/>
      <c r="B8" s="2"/>
    </row>
    <row r="9" spans="1:2" x14ac:dyDescent="0.2">
      <c r="A9" s="2"/>
      <c r="B9" s="2"/>
    </row>
    <row r="10" spans="1:2" x14ac:dyDescent="0.2">
      <c r="A10" s="3" t="s">
        <v>50</v>
      </c>
      <c r="B10" s="2" t="s">
        <v>51</v>
      </c>
    </row>
  </sheetData>
  <pageMargins left="0.75" right="0.75" top="1" bottom="1" header="0.5" footer="0.5"/>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Views>
    <sheetView showGridLines="0" workbookViewId="0">
      <selection pane="topLeft" activeCell="A1"/>
    </sheetView>
  </sheetViews>
  <sheetFormatPr baseColWidth="8" defaultRowHeight="15"/>
  <cols>
    <col min="1" max="1" width="29.99609375" customWidth="1"/>
    <col min="2" max="2" width="27.98046875" customWidth="1"/>
  </cols>
  <sheetData>
    <row r="1" spans="1:2" x14ac:dyDescent="0.2">
      <c r="A1" s="1" t="s">
        <v>52</v>
      </c>
      <c r="B1" s="1" t="s">
        <v>19</v>
      </c>
    </row>
    <row r="2" spans="1:2" x14ac:dyDescent="0.2">
      <c r="A2" s="2" t="s">
        <v>20</v>
      </c>
      <c r="B2" s="4" t="s">
        <v>53</v>
      </c>
    </row>
    <row r="3" spans="1:2" x14ac:dyDescent="0.2">
      <c r="A3" s="2" t="s">
        <v>54</v>
      </c>
      <c r="B3" s="4">
        <v>4</v>
      </c>
    </row>
    <row r="4" spans="1:2" x14ac:dyDescent="0.2">
      <c r="A4" s="2" t="s">
        <v>28</v>
      </c>
      <c r="B4" s="4">
        <v>20</v>
      </c>
    </row>
    <row r="5" spans="1:2" x14ac:dyDescent="0.2">
      <c r="A5" s="2" t="s">
        <v>55</v>
      </c>
      <c r="B5" s="4">
        <v>25</v>
      </c>
    </row>
    <row r="6" spans="1:2" x14ac:dyDescent="0.2">
      <c r="A6" s="2" t="s">
        <v>30</v>
      </c>
      <c r="B6" s="4">
        <v>0</v>
      </c>
    </row>
    <row r="7" spans="1:2" x14ac:dyDescent="0.2">
      <c r="A7" s="2" t="s">
        <v>56</v>
      </c>
      <c r="B7" s="4">
        <v>20</v>
      </c>
    </row>
    <row r="8" spans="1:2" x14ac:dyDescent="0.2">
      <c r="A8" s="2"/>
      <c r="B8" s="2"/>
    </row>
    <row r="9" spans="1:2" x14ac:dyDescent="0.2">
      <c r="A9" s="2"/>
      <c r="B9" s="2"/>
    </row>
    <row r="10" spans="1:2" x14ac:dyDescent="0.2">
      <c r="A10" s="1" t="s">
        <v>57</v>
      </c>
      <c r="B10" s="2"/>
    </row>
    <row r="11" spans="1:2" x14ac:dyDescent="0.2">
      <c r="A11" s="2" t="s">
        <v>58</v>
      </c>
      <c r="B11" s="2">
        <f>B3*Paramètres!B2</f>
        <v>200</v>
      </c>
    </row>
    <row r="12" spans="1:2" x14ac:dyDescent="0.2">
      <c r="A12" s="2" t="s">
        <v>59</v>
      </c>
      <c r="B12" s="2">
        <f>B4*Paramètres!B3</f>
        <v>10</v>
      </c>
    </row>
    <row r="13" spans="1:2" x14ac:dyDescent="0.2">
      <c r="A13" s="2" t="s">
        <v>60</v>
      </c>
      <c r="B13" s="2">
        <f>B6*Paramètres!B5/100</f>
        <v>0</v>
      </c>
    </row>
    <row r="14" spans="1:2" x14ac:dyDescent="0.2">
      <c r="A14" s="2" t="s">
        <v>61</v>
      </c>
      <c r="B14" s="2">
        <f>SUM(B11:B13)+B5+B6</f>
        <v>235</v>
      </c>
    </row>
    <row r="15" spans="1:2" x14ac:dyDescent="0.2">
      <c r="A15" s="2" t="s">
        <v>62</v>
      </c>
      <c r="B15" s="2">
        <f>B14*Paramètres!B4/100</f>
        <v>23.5</v>
      </c>
    </row>
    <row r="16" spans="1:2" x14ac:dyDescent="0.2">
      <c r="A16" s="2" t="s">
        <v>63</v>
      </c>
      <c r="B16" s="2">
        <f>B14+B15</f>
        <v>258.5</v>
      </c>
    </row>
    <row ht="18.75" r="17" spans="1:2" x14ac:dyDescent="0.2">
      <c r="A17" s="2" t="s">
        <v>64</v>
      </c>
      <c r="B17" s="5">
        <f>ROUND(B16/5,0)*5</f>
        <v>260</v>
      </c>
    </row>
    <row r="18" spans="1:2" x14ac:dyDescent="0.2">
      <c r="A18" s="2"/>
      <c r="B18" s="2"/>
    </row>
    <row r="19" spans="1:2" x14ac:dyDescent="0.2">
      <c r="A19" s="2" t="s">
        <v>65</v>
      </c>
      <c r="B19" s="2">
        <f>B14</f>
        <v>235</v>
      </c>
    </row>
    <row r="20" spans="1:2" x14ac:dyDescent="0.2">
      <c r="A20" s="2"/>
      <c r="B20" s="2"/>
    </row>
    <row r="21" spans="1:2" x14ac:dyDescent="0.2">
      <c r="A21" s="2" t="s">
        <v>66</v>
      </c>
      <c r="B21" s="2" t="s">
        <v>67</v>
      </c>
    </row>
  </sheetData>
  <pageMargins left="0.75" right="0.75" top="1" bottom="1" header="0.5" footer="0.5"/>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Views>
    <sheetView showGridLines="0" workbookViewId="0">
      <pane ySplit="1" topLeftCell="A2" activePane="bottomLeft" state="frozen"/>
      <selection pane="bottomLeft"/>
    </sheetView>
  </sheetViews>
  <sheetFormatPr baseColWidth="8" defaultRowHeight="15"/>
  <cols>
    <col min="1" max="11" width="18.0234375" customWidth="1"/>
  </cols>
  <sheetData>
    <row r="1" spans="1:11" x14ac:dyDescent="0.2">
      <c r="A1" s="1" t="s">
        <v>68</v>
      </c>
      <c r="B1" s="1" t="s">
        <v>69</v>
      </c>
      <c r="C1" s="1" t="s">
        <v>3</v>
      </c>
      <c r="D1" s="1" t="s">
        <v>70</v>
      </c>
      <c r="E1" s="1" t="s">
        <v>20</v>
      </c>
      <c r="F1" s="1" t="s">
        <v>71</v>
      </c>
      <c r="G1" s="1" t="s">
        <v>72</v>
      </c>
      <c r="H1" s="1" t="s">
        <v>73</v>
      </c>
      <c r="I1" s="1" t="s">
        <v>74</v>
      </c>
      <c r="J1" s="1" t="s">
        <v>75</v>
      </c>
      <c r="K1" s="1" t="s">
        <v>76</v>
      </c>
    </row>
  </sheetData>
  <autoFilter ref="A1:K500"/>
  <dataValidations count="1">
    <dataValidation type="list" allowBlank="1" sqref="H2:H500">
      <formula1>"À faire,Devis envoyé,Accepté,Refusé,Terminé,À relancer"</formula1>
    </dataValidation>
  </dataValidations>
  <pageMargins left="0.75" right="0.75" top="1" bottom="1" header="0.5" footer="0.5"/>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Views>
    <sheetView showGridLines="0" workbookViewId="0">
      <pane ySplit="1" topLeftCell="A2" activePane="bottomLeft" state="frozen"/>
      <selection pane="bottomLeft"/>
    </sheetView>
  </sheetViews>
  <sheetFormatPr baseColWidth="8" defaultRowHeight="15"/>
  <cols>
    <col min="1" max="11" width="18.0234375" customWidth="1"/>
  </cols>
  <sheetData>
    <row r="1" spans="1:11" x14ac:dyDescent="0.2">
      <c r="A1" s="1" t="s">
        <v>77</v>
      </c>
      <c r="B1" s="1" t="s">
        <v>68</v>
      </c>
      <c r="C1" s="1" t="s">
        <v>20</v>
      </c>
      <c r="D1" s="1" t="s">
        <v>78</v>
      </c>
      <c r="E1" s="1" t="s">
        <v>79</v>
      </c>
      <c r="F1" s="1" t="s">
        <v>80</v>
      </c>
      <c r="G1" s="1" t="s">
        <v>81</v>
      </c>
      <c r="H1" s="1" t="s">
        <v>82</v>
      </c>
      <c r="I1" s="1" t="s">
        <v>83</v>
      </c>
      <c r="J1" s="1" t="s">
        <v>84</v>
      </c>
      <c r="K1" s="1" t="s">
        <v>73</v>
      </c>
    </row>
    <row r="2" spans="1:11" x14ac:dyDescent="0.2">
      <c r="A2" s="2"/>
      <c r="B2" s="2"/>
      <c r="C2" s="2"/>
      <c r="D2" s="2"/>
      <c r="E2" s="2"/>
      <c r="F2" s="2"/>
      <c r="G2" s="2"/>
      <c r="H2" s="2" t="str">
        <f>IF(B2="","",D2*Paramètres!$B$2+E2*Paramètres!$B$3+F2+G2*(1+Paramètres!$B$5/100))</f>
        <v/>
      </c>
      <c r="I2" s="2"/>
      <c r="J2" s="2" t="str">
        <f>IF(I2="","",I2-(D2*Paramètres!$B$2+E2*Paramètres!$B$3+F2+G2))</f>
        <v/>
      </c>
      <c r="K2" s="2"/>
    </row>
    <row r="3" spans="1:11" x14ac:dyDescent="0.2">
      <c r="A3" s="2"/>
      <c r="B3" s="2"/>
      <c r="C3" s="2"/>
      <c r="D3" s="2"/>
      <c r="E3" s="2"/>
      <c r="F3" s="2"/>
      <c r="G3" s="2"/>
      <c r="H3" s="2" t="str">
        <f>IF(B3="","",D3*Paramètres!$B$2+E3*Paramètres!$B$3+F3+G3*(1+Paramètres!$B$5/100))</f>
        <v/>
      </c>
      <c r="I3" s="2"/>
      <c r="J3" s="2" t="str">
        <f>IF(I3="","",I3-(D3*Paramètres!$B$2+E3*Paramètres!$B$3+F3+G3))</f>
        <v/>
      </c>
      <c r="K3" s="2"/>
    </row>
    <row r="4" spans="1:11" x14ac:dyDescent="0.2">
      <c r="A4" s="2"/>
      <c r="B4" s="2"/>
      <c r="C4" s="2"/>
      <c r="D4" s="2"/>
      <c r="E4" s="2"/>
      <c r="F4" s="2"/>
      <c r="G4" s="2"/>
      <c r="H4" s="2" t="str">
        <f>IF(B4="","",D4*Paramètres!$B$2+E4*Paramètres!$B$3+F4+G4*(1+Paramètres!$B$5/100))</f>
        <v/>
      </c>
      <c r="I4" s="2"/>
      <c r="J4" s="2" t="str">
        <f>IF(I4="","",I4-(D4*Paramètres!$B$2+E4*Paramètres!$B$3+F4+G4))</f>
        <v/>
      </c>
      <c r="K4" s="2"/>
    </row>
    <row r="5" spans="1:11" x14ac:dyDescent="0.2">
      <c r="A5" s="2"/>
      <c r="B5" s="2"/>
      <c r="C5" s="2"/>
      <c r="D5" s="2"/>
      <c r="E5" s="2"/>
      <c r="F5" s="2"/>
      <c r="G5" s="2"/>
      <c r="H5" s="2" t="str">
        <f>IF(B5="","",D5*Paramètres!$B$2+E5*Paramètres!$B$3+F5+G5*(1+Paramètres!$B$5/100))</f>
        <v/>
      </c>
      <c r="I5" s="2"/>
      <c r="J5" s="2" t="str">
        <f>IF(I5="","",I5-(D5*Paramètres!$B$2+E5*Paramètres!$B$3+F5+G5))</f>
        <v/>
      </c>
      <c r="K5" s="2"/>
    </row>
    <row r="6" spans="1:11" x14ac:dyDescent="0.2">
      <c r="A6" s="2"/>
      <c r="B6" s="2"/>
      <c r="C6" s="2"/>
      <c r="D6" s="2"/>
      <c r="E6" s="2"/>
      <c r="F6" s="2"/>
      <c r="G6" s="2"/>
      <c r="H6" s="2" t="str">
        <f>IF(B6="","",D6*Paramètres!$B$2+E6*Paramètres!$B$3+F6+G6*(1+Paramètres!$B$5/100))</f>
        <v/>
      </c>
      <c r="I6" s="2"/>
      <c r="J6" s="2" t="str">
        <f>IF(I6="","",I6-(D6*Paramètres!$B$2+E6*Paramètres!$B$3+F6+G6))</f>
        <v/>
      </c>
      <c r="K6" s="2"/>
    </row>
    <row r="7" spans="1:11" x14ac:dyDescent="0.2">
      <c r="A7" s="2"/>
      <c r="B7" s="2"/>
      <c r="C7" s="2"/>
      <c r="D7" s="2"/>
      <c r="E7" s="2"/>
      <c r="F7" s="2"/>
      <c r="G7" s="2"/>
      <c r="H7" s="2" t="str">
        <f>IF(B7="","",D7*Paramètres!$B$2+E7*Paramètres!$B$3+F7+G7*(1+Paramètres!$B$5/100))</f>
        <v/>
      </c>
      <c r="I7" s="2"/>
      <c r="J7" s="2" t="str">
        <f>IF(I7="","",I7-(D7*Paramètres!$B$2+E7*Paramètres!$B$3+F7+G7))</f>
        <v/>
      </c>
      <c r="K7" s="2"/>
    </row>
    <row r="8" spans="1:11" x14ac:dyDescent="0.2">
      <c r="A8" s="2"/>
      <c r="B8" s="2"/>
      <c r="C8" s="2"/>
      <c r="D8" s="2"/>
      <c r="E8" s="2"/>
      <c r="F8" s="2"/>
      <c r="G8" s="2"/>
      <c r="H8" s="2" t="str">
        <f>IF(B8="","",D8*Paramètres!$B$2+E8*Paramètres!$B$3+F8+G8*(1+Paramètres!$B$5/100))</f>
        <v/>
      </c>
      <c r="I8" s="2"/>
      <c r="J8" s="2" t="str">
        <f>IF(I8="","",I8-(D8*Paramètres!$B$2+E8*Paramètres!$B$3+F8+G8))</f>
        <v/>
      </c>
      <c r="K8" s="2"/>
    </row>
    <row r="9" spans="1:11" x14ac:dyDescent="0.2">
      <c r="A9" s="2"/>
      <c r="B9" s="2"/>
      <c r="C9" s="2"/>
      <c r="D9" s="2"/>
      <c r="E9" s="2"/>
      <c r="F9" s="2"/>
      <c r="G9" s="2"/>
      <c r="H9" s="2" t="str">
        <f>IF(B9="","",D9*Paramètres!$B$2+E9*Paramètres!$B$3+F9+G9*(1+Paramètres!$B$5/100))</f>
        <v/>
      </c>
      <c r="I9" s="2"/>
      <c r="J9" s="2" t="str">
        <f>IF(I9="","",I9-(D9*Paramètres!$B$2+E9*Paramètres!$B$3+F9+G9))</f>
        <v/>
      </c>
      <c r="K9" s="2"/>
    </row>
    <row r="10" spans="1:11" x14ac:dyDescent="0.2">
      <c r="A10" s="2"/>
      <c r="B10" s="2"/>
      <c r="C10" s="2"/>
      <c r="D10" s="2"/>
      <c r="E10" s="2"/>
      <c r="F10" s="2"/>
      <c r="G10" s="2"/>
      <c r="H10" s="2" t="str">
        <f>IF(B10="","",D10*Paramètres!$B$2+E10*Paramètres!$B$3+F10+G10*(1+Paramètres!$B$5/100))</f>
        <v/>
      </c>
      <c r="I10" s="2"/>
      <c r="J10" s="2" t="str">
        <f>IF(I10="","",I10-(D10*Paramètres!$B$2+E10*Paramètres!$B$3+F10+G10))</f>
        <v/>
      </c>
      <c r="K10" s="2"/>
    </row>
    <row r="11" spans="1:11" x14ac:dyDescent="0.2">
      <c r="A11" s="2"/>
      <c r="B11" s="2"/>
      <c r="C11" s="2"/>
      <c r="D11" s="2"/>
      <c r="E11" s="2"/>
      <c r="F11" s="2"/>
      <c r="G11" s="2"/>
      <c r="H11" s="2" t="str">
        <f>IF(B11="","",D11*Paramètres!$B$2+E11*Paramètres!$B$3+F11+G11*(1+Paramètres!$B$5/100))</f>
        <v/>
      </c>
      <c r="I11" s="2"/>
      <c r="J11" s="2" t="str">
        <f>IF(I11="","",I11-(D11*Paramètres!$B$2+E11*Paramètres!$B$3+F11+G11))</f>
        <v/>
      </c>
      <c r="K11" s="2"/>
    </row>
    <row r="12" spans="1:11" x14ac:dyDescent="0.2">
      <c r="A12" s="2"/>
      <c r="B12" s="2"/>
      <c r="C12" s="2"/>
      <c r="D12" s="2"/>
      <c r="E12" s="2"/>
      <c r="F12" s="2"/>
      <c r="G12" s="2"/>
      <c r="H12" s="2" t="str">
        <f>IF(B12="","",D12*Paramètres!$B$2+E12*Paramètres!$B$3+F12+G12*(1+Paramètres!$B$5/100))</f>
        <v/>
      </c>
      <c r="I12" s="2"/>
      <c r="J12" s="2" t="str">
        <f>IF(I12="","",I12-(D12*Paramètres!$B$2+E12*Paramètres!$B$3+F12+G12))</f>
        <v/>
      </c>
      <c r="K12" s="2"/>
    </row>
    <row r="13" spans="1:11" x14ac:dyDescent="0.2">
      <c r="A13" s="2"/>
      <c r="B13" s="2"/>
      <c r="C13" s="2"/>
      <c r="D13" s="2"/>
      <c r="E13" s="2"/>
      <c r="F13" s="2"/>
      <c r="G13" s="2"/>
      <c r="H13" s="2" t="str">
        <f>IF(B13="","",D13*Paramètres!$B$2+E13*Paramètres!$B$3+F13+G13*(1+Paramètres!$B$5/100))</f>
        <v/>
      </c>
      <c r="I13" s="2"/>
      <c r="J13" s="2" t="str">
        <f>IF(I13="","",I13-(D13*Paramètres!$B$2+E13*Paramètres!$B$3+F13+G13))</f>
        <v/>
      </c>
      <c r="K13" s="2"/>
    </row>
    <row r="14" spans="1:11" x14ac:dyDescent="0.2">
      <c r="A14" s="2"/>
      <c r="B14" s="2"/>
      <c r="C14" s="2"/>
      <c r="D14" s="2"/>
      <c r="E14" s="2"/>
      <c r="F14" s="2"/>
      <c r="G14" s="2"/>
      <c r="H14" s="2" t="str">
        <f>IF(B14="","",D14*Paramètres!$B$2+E14*Paramètres!$B$3+F14+G14*(1+Paramètres!$B$5/100))</f>
        <v/>
      </c>
      <c r="I14" s="2"/>
      <c r="J14" s="2" t="str">
        <f>IF(I14="","",I14-(D14*Paramètres!$B$2+E14*Paramètres!$B$3+F14+G14))</f>
        <v/>
      </c>
      <c r="K14" s="2"/>
    </row>
    <row r="15" spans="1:11" x14ac:dyDescent="0.2">
      <c r="A15" s="2"/>
      <c r="B15" s="2"/>
      <c r="C15" s="2"/>
      <c r="D15" s="2"/>
      <c r="E15" s="2"/>
      <c r="F15" s="2"/>
      <c r="G15" s="2"/>
      <c r="H15" s="2" t="str">
        <f>IF(B15="","",D15*Paramètres!$B$2+E15*Paramètres!$B$3+F15+G15*(1+Paramètres!$B$5/100))</f>
        <v/>
      </c>
      <c r="I15" s="2"/>
      <c r="J15" s="2" t="str">
        <f>IF(I15="","",I15-(D15*Paramètres!$B$2+E15*Paramètres!$B$3+F15+G15))</f>
        <v/>
      </c>
      <c r="K15" s="2"/>
    </row>
    <row r="16" spans="1:11" x14ac:dyDescent="0.2">
      <c r="A16" s="2"/>
      <c r="B16" s="2"/>
      <c r="C16" s="2"/>
      <c r="D16" s="2"/>
      <c r="E16" s="2"/>
      <c r="F16" s="2"/>
      <c r="G16" s="2"/>
      <c r="H16" s="2" t="str">
        <f>IF(B16="","",D16*Paramètres!$B$2+E16*Paramètres!$B$3+F16+G16*(1+Paramètres!$B$5/100))</f>
        <v/>
      </c>
      <c r="I16" s="2"/>
      <c r="J16" s="2" t="str">
        <f>IF(I16="","",I16-(D16*Paramètres!$B$2+E16*Paramètres!$B$3+F16+G16))</f>
        <v/>
      </c>
      <c r="K16" s="2"/>
    </row>
    <row r="17" spans="1:11" x14ac:dyDescent="0.2">
      <c r="A17" s="2"/>
      <c r="B17" s="2"/>
      <c r="C17" s="2"/>
      <c r="D17" s="2"/>
      <c r="E17" s="2"/>
      <c r="F17" s="2"/>
      <c r="G17" s="2"/>
      <c r="H17" s="2" t="str">
        <f>IF(B17="","",D17*Paramètres!$B$2+E17*Paramètres!$B$3+F17+G17*(1+Paramètres!$B$5/100))</f>
        <v/>
      </c>
      <c r="I17" s="2"/>
      <c r="J17" s="2" t="str">
        <f>IF(I17="","",I17-(D17*Paramètres!$B$2+E17*Paramètres!$B$3+F17+G17))</f>
        <v/>
      </c>
      <c r="K17" s="2"/>
    </row>
    <row r="18" spans="1:11" x14ac:dyDescent="0.2">
      <c r="A18" s="2"/>
      <c r="B18" s="2"/>
      <c r="C18" s="2"/>
      <c r="D18" s="2"/>
      <c r="E18" s="2"/>
      <c r="F18" s="2"/>
      <c r="G18" s="2"/>
      <c r="H18" s="2" t="str">
        <f>IF(B18="","",D18*Paramètres!$B$2+E18*Paramètres!$B$3+F18+G18*(1+Paramètres!$B$5/100))</f>
        <v/>
      </c>
      <c r="I18" s="2"/>
      <c r="J18" s="2" t="str">
        <f>IF(I18="","",I18-(D18*Paramètres!$B$2+E18*Paramètres!$B$3+F18+G18))</f>
        <v/>
      </c>
      <c r="K18" s="2"/>
    </row>
    <row r="19" spans="1:11" x14ac:dyDescent="0.2">
      <c r="A19" s="2"/>
      <c r="B19" s="2"/>
      <c r="C19" s="2"/>
      <c r="D19" s="2"/>
      <c r="E19" s="2"/>
      <c r="F19" s="2"/>
      <c r="G19" s="2"/>
      <c r="H19" s="2" t="str">
        <f>IF(B19="","",D19*Paramètres!$B$2+E19*Paramètres!$B$3+F19+G19*(1+Paramètres!$B$5/100))</f>
        <v/>
      </c>
      <c r="I19" s="2"/>
      <c r="J19" s="2" t="str">
        <f>IF(I19="","",I19-(D19*Paramètres!$B$2+E19*Paramètres!$B$3+F19+G19))</f>
        <v/>
      </c>
      <c r="K19" s="2"/>
    </row>
    <row r="20" spans="1:11" x14ac:dyDescent="0.2">
      <c r="A20" s="2"/>
      <c r="B20" s="2"/>
      <c r="C20" s="2"/>
      <c r="D20" s="2"/>
      <c r="E20" s="2"/>
      <c r="F20" s="2"/>
      <c r="G20" s="2"/>
      <c r="H20" s="2" t="str">
        <f>IF(B20="","",D20*Paramètres!$B$2+E20*Paramètres!$B$3+F20+G20*(1+Paramètres!$B$5/100))</f>
        <v/>
      </c>
      <c r="I20" s="2"/>
      <c r="J20" s="2" t="str">
        <f>IF(I20="","",I20-(D20*Paramètres!$B$2+E20*Paramètres!$B$3+F20+G20))</f>
        <v/>
      </c>
      <c r="K20" s="2"/>
    </row>
    <row r="21" spans="1:11" x14ac:dyDescent="0.2">
      <c r="A21" s="2"/>
      <c r="B21" s="2"/>
      <c r="C21" s="2"/>
      <c r="D21" s="2"/>
      <c r="E21" s="2"/>
      <c r="F21" s="2"/>
      <c r="G21" s="2"/>
      <c r="H21" s="2" t="str">
        <f>IF(B21="","",D21*Paramètres!$B$2+E21*Paramètres!$B$3+F21+G21*(1+Paramètres!$B$5/100))</f>
        <v/>
      </c>
      <c r="I21" s="2"/>
      <c r="J21" s="2" t="str">
        <f>IF(I21="","",I21-(D21*Paramètres!$B$2+E21*Paramètres!$B$3+F21+G21))</f>
        <v/>
      </c>
      <c r="K21" s="2"/>
    </row>
    <row r="22" spans="1:11" x14ac:dyDescent="0.2">
      <c r="A22" s="2"/>
      <c r="B22" s="2"/>
      <c r="C22" s="2"/>
      <c r="D22" s="2"/>
      <c r="E22" s="2"/>
      <c r="F22" s="2"/>
      <c r="G22" s="2"/>
      <c r="H22" s="2" t="str">
        <f>IF(B22="","",D22*Paramètres!$B$2+E22*Paramètres!$B$3+F22+G22*(1+Paramètres!$B$5/100))</f>
        <v/>
      </c>
      <c r="I22" s="2"/>
      <c r="J22" s="2" t="str">
        <f>IF(I22="","",I22-(D22*Paramètres!$B$2+E22*Paramètres!$B$3+F22+G22))</f>
        <v/>
      </c>
      <c r="K22" s="2"/>
    </row>
    <row r="23" spans="1:11" x14ac:dyDescent="0.2">
      <c r="A23" s="2"/>
      <c r="B23" s="2"/>
      <c r="C23" s="2"/>
      <c r="D23" s="2"/>
      <c r="E23" s="2"/>
      <c r="F23" s="2"/>
      <c r="G23" s="2"/>
      <c r="H23" s="2" t="str">
        <f>IF(B23="","",D23*Paramètres!$B$2+E23*Paramètres!$B$3+F23+G23*(1+Paramètres!$B$5/100))</f>
        <v/>
      </c>
      <c r="I23" s="2"/>
      <c r="J23" s="2" t="str">
        <f>IF(I23="","",I23-(D23*Paramètres!$B$2+E23*Paramètres!$B$3+F23+G23))</f>
        <v/>
      </c>
      <c r="K23" s="2"/>
    </row>
    <row r="24" spans="1:11" x14ac:dyDescent="0.2">
      <c r="A24" s="2"/>
      <c r="B24" s="2"/>
      <c r="C24" s="2"/>
      <c r="D24" s="2"/>
      <c r="E24" s="2"/>
      <c r="F24" s="2"/>
      <c r="G24" s="2"/>
      <c r="H24" s="2" t="str">
        <f>IF(B24="","",D24*Paramètres!$B$2+E24*Paramètres!$B$3+F24+G24*(1+Paramètres!$B$5/100))</f>
        <v/>
      </c>
      <c r="I24" s="2"/>
      <c r="J24" s="2" t="str">
        <f>IF(I24="","",I24-(D24*Paramètres!$B$2+E24*Paramètres!$B$3+F24+G24))</f>
        <v/>
      </c>
      <c r="K24" s="2"/>
    </row>
    <row r="25" spans="1:11" x14ac:dyDescent="0.2">
      <c r="A25" s="2"/>
      <c r="B25" s="2"/>
      <c r="C25" s="2"/>
      <c r="D25" s="2"/>
      <c r="E25" s="2"/>
      <c r="F25" s="2"/>
      <c r="G25" s="2"/>
      <c r="H25" s="2" t="str">
        <f>IF(B25="","",D25*Paramètres!$B$2+E25*Paramètres!$B$3+F25+G25*(1+Paramètres!$B$5/100))</f>
        <v/>
      </c>
      <c r="I25" s="2"/>
      <c r="J25" s="2" t="str">
        <f>IF(I25="","",I25-(D25*Paramètres!$B$2+E25*Paramètres!$B$3+F25+G25))</f>
        <v/>
      </c>
      <c r="K25" s="2"/>
    </row>
    <row r="26" spans="1:11" x14ac:dyDescent="0.2">
      <c r="A26" s="2"/>
      <c r="B26" s="2"/>
      <c r="C26" s="2"/>
      <c r="D26" s="2"/>
      <c r="E26" s="2"/>
      <c r="F26" s="2"/>
      <c r="G26" s="2"/>
      <c r="H26" s="2" t="str">
        <f>IF(B26="","",D26*Paramètres!$B$2+E26*Paramètres!$B$3+F26+G26*(1+Paramètres!$B$5/100))</f>
        <v/>
      </c>
      <c r="I26" s="2"/>
      <c r="J26" s="2" t="str">
        <f>IF(I26="","",I26-(D26*Paramètres!$B$2+E26*Paramètres!$B$3+F26+G26))</f>
        <v/>
      </c>
      <c r="K26" s="2"/>
    </row>
    <row r="27" spans="1:11" x14ac:dyDescent="0.2">
      <c r="A27" s="2"/>
      <c r="B27" s="2"/>
      <c r="C27" s="2"/>
      <c r="D27" s="2"/>
      <c r="E27" s="2"/>
      <c r="F27" s="2"/>
      <c r="G27" s="2"/>
      <c r="H27" s="2" t="str">
        <f>IF(B27="","",D27*Paramètres!$B$2+E27*Paramètres!$B$3+F27+G27*(1+Paramètres!$B$5/100))</f>
        <v/>
      </c>
      <c r="I27" s="2"/>
      <c r="J27" s="2" t="str">
        <f>IF(I27="","",I27-(D27*Paramètres!$B$2+E27*Paramètres!$B$3+F27+G27))</f>
        <v/>
      </c>
      <c r="K27" s="2"/>
    </row>
    <row r="28" spans="1:11" x14ac:dyDescent="0.2">
      <c r="A28" s="2"/>
      <c r="B28" s="2"/>
      <c r="C28" s="2"/>
      <c r="D28" s="2"/>
      <c r="E28" s="2"/>
      <c r="F28" s="2"/>
      <c r="G28" s="2"/>
      <c r="H28" s="2" t="str">
        <f>IF(B28="","",D28*Paramètres!$B$2+E28*Paramètres!$B$3+F28+G28*(1+Paramètres!$B$5/100))</f>
        <v/>
      </c>
      <c r="I28" s="2"/>
      <c r="J28" s="2" t="str">
        <f>IF(I28="","",I28-(D28*Paramètres!$B$2+E28*Paramètres!$B$3+F28+G28))</f>
        <v/>
      </c>
      <c r="K28" s="2"/>
    </row>
    <row r="29" spans="1:11" x14ac:dyDescent="0.2">
      <c r="A29" s="2"/>
      <c r="B29" s="2"/>
      <c r="C29" s="2"/>
      <c r="D29" s="2"/>
      <c r="E29" s="2"/>
      <c r="F29" s="2"/>
      <c r="G29" s="2"/>
      <c r="H29" s="2" t="str">
        <f>IF(B29="","",D29*Paramètres!$B$2+E29*Paramètres!$B$3+F29+G29*(1+Paramètres!$B$5/100))</f>
        <v/>
      </c>
      <c r="I29" s="2"/>
      <c r="J29" s="2" t="str">
        <f>IF(I29="","",I29-(D29*Paramètres!$B$2+E29*Paramètres!$B$3+F29+G29))</f>
        <v/>
      </c>
      <c r="K29" s="2"/>
    </row>
    <row r="30" spans="1:11" x14ac:dyDescent="0.2">
      <c r="A30" s="2"/>
      <c r="B30" s="2"/>
      <c r="C30" s="2"/>
      <c r="D30" s="2"/>
      <c r="E30" s="2"/>
      <c r="F30" s="2"/>
      <c r="G30" s="2"/>
      <c r="H30" s="2" t="str">
        <f>IF(B30="","",D30*Paramètres!$B$2+E30*Paramètres!$B$3+F30+G30*(1+Paramètres!$B$5/100))</f>
        <v/>
      </c>
      <c r="I30" s="2"/>
      <c r="J30" s="2" t="str">
        <f>IF(I30="","",I30-(D30*Paramètres!$B$2+E30*Paramètres!$B$3+F30+G30))</f>
        <v/>
      </c>
      <c r="K30" s="2"/>
    </row>
    <row r="31" spans="1:11" x14ac:dyDescent="0.2">
      <c r="A31" s="2"/>
      <c r="B31" s="2"/>
      <c r="C31" s="2"/>
      <c r="D31" s="2"/>
      <c r="E31" s="2"/>
      <c r="F31" s="2"/>
      <c r="G31" s="2"/>
      <c r="H31" s="2" t="str">
        <f>IF(B31="","",D31*Paramètres!$B$2+E31*Paramètres!$B$3+F31+G31*(1+Paramètres!$B$5/100))</f>
        <v/>
      </c>
      <c r="I31" s="2"/>
      <c r="J31" s="2" t="str">
        <f>IF(I31="","",I31-(D31*Paramètres!$B$2+E31*Paramètres!$B$3+F31+G31))</f>
        <v/>
      </c>
      <c r="K31" s="2"/>
    </row>
    <row r="32" spans="1:11" x14ac:dyDescent="0.2">
      <c r="A32" s="2"/>
      <c r="B32" s="2"/>
      <c r="C32" s="2"/>
      <c r="D32" s="2"/>
      <c r="E32" s="2"/>
      <c r="F32" s="2"/>
      <c r="G32" s="2"/>
      <c r="H32" s="2" t="str">
        <f>IF(B32="","",D32*Paramètres!$B$2+E32*Paramètres!$B$3+F32+G32*(1+Paramètres!$B$5/100))</f>
        <v/>
      </c>
      <c r="I32" s="2"/>
      <c r="J32" s="2" t="str">
        <f>IF(I32="","",I32-(D32*Paramètres!$B$2+E32*Paramètres!$B$3+F32+G32))</f>
        <v/>
      </c>
      <c r="K32" s="2"/>
    </row>
    <row r="33" spans="1:11" x14ac:dyDescent="0.2">
      <c r="A33" s="2"/>
      <c r="B33" s="2"/>
      <c r="C33" s="2"/>
      <c r="D33" s="2"/>
      <c r="E33" s="2"/>
      <c r="F33" s="2"/>
      <c r="G33" s="2"/>
      <c r="H33" s="2" t="str">
        <f>IF(B33="","",D33*Paramètres!$B$2+E33*Paramètres!$B$3+F33+G33*(1+Paramètres!$B$5/100))</f>
        <v/>
      </c>
      <c r="I33" s="2"/>
      <c r="J33" s="2" t="str">
        <f>IF(I33="","",I33-(D33*Paramètres!$B$2+E33*Paramètres!$B$3+F33+G33))</f>
        <v/>
      </c>
      <c r="K33" s="2"/>
    </row>
    <row r="34" spans="1:11" x14ac:dyDescent="0.2">
      <c r="A34" s="2"/>
      <c r="B34" s="2"/>
      <c r="C34" s="2"/>
      <c r="D34" s="2"/>
      <c r="E34" s="2"/>
      <c r="F34" s="2"/>
      <c r="G34" s="2"/>
      <c r="H34" s="2" t="str">
        <f>IF(B34="","",D34*Paramètres!$B$2+E34*Paramètres!$B$3+F34+G34*(1+Paramètres!$B$5/100))</f>
        <v/>
      </c>
      <c r="I34" s="2"/>
      <c r="J34" s="2" t="str">
        <f>IF(I34="","",I34-(D34*Paramètres!$B$2+E34*Paramètres!$B$3+F34+G34))</f>
        <v/>
      </c>
      <c r="K34" s="2"/>
    </row>
    <row r="35" spans="1:11" x14ac:dyDescent="0.2">
      <c r="A35" s="2"/>
      <c r="B35" s="2"/>
      <c r="C35" s="2"/>
      <c r="D35" s="2"/>
      <c r="E35" s="2"/>
      <c r="F35" s="2"/>
      <c r="G35" s="2"/>
      <c r="H35" s="2" t="str">
        <f>IF(B35="","",D35*Paramètres!$B$2+E35*Paramètres!$B$3+F35+G35*(1+Paramètres!$B$5/100))</f>
        <v/>
      </c>
      <c r="I35" s="2"/>
      <c r="J35" s="2" t="str">
        <f>IF(I35="","",I35-(D35*Paramètres!$B$2+E35*Paramètres!$B$3+F35+G35))</f>
        <v/>
      </c>
      <c r="K35" s="2"/>
    </row>
    <row r="36" spans="1:11" x14ac:dyDescent="0.2">
      <c r="A36" s="2"/>
      <c r="B36" s="2"/>
      <c r="C36" s="2"/>
      <c r="D36" s="2"/>
      <c r="E36" s="2"/>
      <c r="F36" s="2"/>
      <c r="G36" s="2"/>
      <c r="H36" s="2" t="str">
        <f>IF(B36="","",D36*Paramètres!$B$2+E36*Paramètres!$B$3+F36+G36*(1+Paramètres!$B$5/100))</f>
        <v/>
      </c>
      <c r="I36" s="2"/>
      <c r="J36" s="2" t="str">
        <f>IF(I36="","",I36-(D36*Paramètres!$B$2+E36*Paramètres!$B$3+F36+G36))</f>
        <v/>
      </c>
      <c r="K36" s="2"/>
    </row>
    <row r="37" spans="1:11" x14ac:dyDescent="0.2">
      <c r="A37" s="2"/>
      <c r="B37" s="2"/>
      <c r="C37" s="2"/>
      <c r="D37" s="2"/>
      <c r="E37" s="2"/>
      <c r="F37" s="2"/>
      <c r="G37" s="2"/>
      <c r="H37" s="2" t="str">
        <f>IF(B37="","",D37*Paramètres!$B$2+E37*Paramètres!$B$3+F37+G37*(1+Paramètres!$B$5/100))</f>
        <v/>
      </c>
      <c r="I37" s="2"/>
      <c r="J37" s="2" t="str">
        <f>IF(I37="","",I37-(D37*Paramètres!$B$2+E37*Paramètres!$B$3+F37+G37))</f>
        <v/>
      </c>
      <c r="K37" s="2"/>
    </row>
    <row r="38" spans="1:11" x14ac:dyDescent="0.2">
      <c r="A38" s="2"/>
      <c r="B38" s="2"/>
      <c r="C38" s="2"/>
      <c r="D38" s="2"/>
      <c r="E38" s="2"/>
      <c r="F38" s="2"/>
      <c r="G38" s="2"/>
      <c r="H38" s="2" t="str">
        <f>IF(B38="","",D38*Paramètres!$B$2+E38*Paramètres!$B$3+F38+G38*(1+Paramètres!$B$5/100))</f>
        <v/>
      </c>
      <c r="I38" s="2"/>
      <c r="J38" s="2" t="str">
        <f>IF(I38="","",I38-(D38*Paramètres!$B$2+E38*Paramètres!$B$3+F38+G38))</f>
        <v/>
      </c>
      <c r="K38" s="2"/>
    </row>
    <row r="39" spans="1:11" x14ac:dyDescent="0.2">
      <c r="A39" s="2"/>
      <c r="B39" s="2"/>
      <c r="C39" s="2"/>
      <c r="D39" s="2"/>
      <c r="E39" s="2"/>
      <c r="F39" s="2"/>
      <c r="G39" s="2"/>
      <c r="H39" s="2" t="str">
        <f>IF(B39="","",D39*Paramètres!$B$2+E39*Paramètres!$B$3+F39+G39*(1+Paramètres!$B$5/100))</f>
        <v/>
      </c>
      <c r="I39" s="2"/>
      <c r="J39" s="2" t="str">
        <f>IF(I39="","",I39-(D39*Paramètres!$B$2+E39*Paramètres!$B$3+F39+G39))</f>
        <v/>
      </c>
      <c r="K39" s="2"/>
    </row>
    <row r="40" spans="1:11" x14ac:dyDescent="0.2">
      <c r="A40" s="2"/>
      <c r="B40" s="2"/>
      <c r="C40" s="2"/>
      <c r="D40" s="2"/>
      <c r="E40" s="2"/>
      <c r="F40" s="2"/>
      <c r="G40" s="2"/>
      <c r="H40" s="2" t="str">
        <f>IF(B40="","",D40*Paramètres!$B$2+E40*Paramètres!$B$3+F40+G40*(1+Paramètres!$B$5/100))</f>
        <v/>
      </c>
      <c r="I40" s="2"/>
      <c r="J40" s="2" t="str">
        <f>IF(I40="","",I40-(D40*Paramètres!$B$2+E40*Paramètres!$B$3+F40+G40))</f>
        <v/>
      </c>
      <c r="K40" s="2"/>
    </row>
    <row r="41" spans="1:11" x14ac:dyDescent="0.2">
      <c r="A41" s="2"/>
      <c r="B41" s="2"/>
      <c r="C41" s="2"/>
      <c r="D41" s="2"/>
      <c r="E41" s="2"/>
      <c r="F41" s="2"/>
      <c r="G41" s="2"/>
      <c r="H41" s="2" t="str">
        <f>IF(B41="","",D41*Paramètres!$B$2+E41*Paramètres!$B$3+F41+G41*(1+Paramètres!$B$5/100))</f>
        <v/>
      </c>
      <c r="I41" s="2"/>
      <c r="J41" s="2" t="str">
        <f>IF(I41="","",I41-(D41*Paramètres!$B$2+E41*Paramètres!$B$3+F41+G41))</f>
        <v/>
      </c>
      <c r="K41" s="2"/>
    </row>
    <row r="42" spans="1:11" x14ac:dyDescent="0.2">
      <c r="A42" s="2"/>
      <c r="B42" s="2"/>
      <c r="C42" s="2"/>
      <c r="D42" s="2"/>
      <c r="E42" s="2"/>
      <c r="F42" s="2"/>
      <c r="G42" s="2"/>
      <c r="H42" s="2" t="str">
        <f>IF(B42="","",D42*Paramètres!$B$2+E42*Paramètres!$B$3+F42+G42*(1+Paramètres!$B$5/100))</f>
        <v/>
      </c>
      <c r="I42" s="2"/>
      <c r="J42" s="2" t="str">
        <f>IF(I42="","",I42-(D42*Paramètres!$B$2+E42*Paramètres!$B$3+F42+G42))</f>
        <v/>
      </c>
      <c r="K42" s="2"/>
    </row>
    <row r="43" spans="1:11" x14ac:dyDescent="0.2">
      <c r="A43" s="2"/>
      <c r="B43" s="2"/>
      <c r="C43" s="2"/>
      <c r="D43" s="2"/>
      <c r="E43" s="2"/>
      <c r="F43" s="2"/>
      <c r="G43" s="2"/>
      <c r="H43" s="2" t="str">
        <f>IF(B43="","",D43*Paramètres!$B$2+E43*Paramètres!$B$3+F43+G43*(1+Paramètres!$B$5/100))</f>
        <v/>
      </c>
      <c r="I43" s="2"/>
      <c r="J43" s="2" t="str">
        <f>IF(I43="","",I43-(D43*Paramètres!$B$2+E43*Paramètres!$B$3+F43+G43))</f>
        <v/>
      </c>
      <c r="K43" s="2"/>
    </row>
    <row r="44" spans="1:11" x14ac:dyDescent="0.2">
      <c r="A44" s="2"/>
      <c r="B44" s="2"/>
      <c r="C44" s="2"/>
      <c r="D44" s="2"/>
      <c r="E44" s="2"/>
      <c r="F44" s="2"/>
      <c r="G44" s="2"/>
      <c r="H44" s="2" t="str">
        <f>IF(B44="","",D44*Paramètres!$B$2+E44*Paramètres!$B$3+F44+G44*(1+Paramètres!$B$5/100))</f>
        <v/>
      </c>
      <c r="I44" s="2"/>
      <c r="J44" s="2" t="str">
        <f>IF(I44="","",I44-(D44*Paramètres!$B$2+E44*Paramètres!$B$3+F44+G44))</f>
        <v/>
      </c>
      <c r="K44" s="2"/>
    </row>
    <row r="45" spans="1:11" x14ac:dyDescent="0.2">
      <c r="A45" s="2"/>
      <c r="B45" s="2"/>
      <c r="C45" s="2"/>
      <c r="D45" s="2"/>
      <c r="E45" s="2"/>
      <c r="F45" s="2"/>
      <c r="G45" s="2"/>
      <c r="H45" s="2" t="str">
        <f>IF(B45="","",D45*Paramètres!$B$2+E45*Paramètres!$B$3+F45+G45*(1+Paramètres!$B$5/100))</f>
        <v/>
      </c>
      <c r="I45" s="2"/>
      <c r="J45" s="2" t="str">
        <f>IF(I45="","",I45-(D45*Paramètres!$B$2+E45*Paramètres!$B$3+F45+G45))</f>
        <v/>
      </c>
      <c r="K45" s="2"/>
    </row>
    <row r="46" spans="1:11" x14ac:dyDescent="0.2">
      <c r="A46" s="2"/>
      <c r="B46" s="2"/>
      <c r="C46" s="2"/>
      <c r="D46" s="2"/>
      <c r="E46" s="2"/>
      <c r="F46" s="2"/>
      <c r="G46" s="2"/>
      <c r="H46" s="2" t="str">
        <f>IF(B46="","",D46*Paramètres!$B$2+E46*Paramètres!$B$3+F46+G46*(1+Paramètres!$B$5/100))</f>
        <v/>
      </c>
      <c r="I46" s="2"/>
      <c r="J46" s="2" t="str">
        <f>IF(I46="","",I46-(D46*Paramètres!$B$2+E46*Paramètres!$B$3+F46+G46))</f>
        <v/>
      </c>
      <c r="K46" s="2"/>
    </row>
    <row r="47" spans="1:11" x14ac:dyDescent="0.2">
      <c r="A47" s="2"/>
      <c r="B47" s="2"/>
      <c r="C47" s="2"/>
      <c r="D47" s="2"/>
      <c r="E47" s="2"/>
      <c r="F47" s="2"/>
      <c r="G47" s="2"/>
      <c r="H47" s="2" t="str">
        <f>IF(B47="","",D47*Paramètres!$B$2+E47*Paramètres!$B$3+F47+G47*(1+Paramètres!$B$5/100))</f>
        <v/>
      </c>
      <c r="I47" s="2"/>
      <c r="J47" s="2" t="str">
        <f>IF(I47="","",I47-(D47*Paramètres!$B$2+E47*Paramètres!$B$3+F47+G47))</f>
        <v/>
      </c>
      <c r="K47" s="2"/>
    </row>
    <row r="48" spans="1:11" x14ac:dyDescent="0.2">
      <c r="A48" s="2"/>
      <c r="B48" s="2"/>
      <c r="C48" s="2"/>
      <c r="D48" s="2"/>
      <c r="E48" s="2"/>
      <c r="F48" s="2"/>
      <c r="G48" s="2"/>
      <c r="H48" s="2" t="str">
        <f>IF(B48="","",D48*Paramètres!$B$2+E48*Paramètres!$B$3+F48+G48*(1+Paramètres!$B$5/100))</f>
        <v/>
      </c>
      <c r="I48" s="2"/>
      <c r="J48" s="2" t="str">
        <f>IF(I48="","",I48-(D48*Paramètres!$B$2+E48*Paramètres!$B$3+F48+G48))</f>
        <v/>
      </c>
      <c r="K48" s="2"/>
    </row>
    <row r="49" spans="1:11" x14ac:dyDescent="0.2">
      <c r="A49" s="2"/>
      <c r="B49" s="2"/>
      <c r="C49" s="2"/>
      <c r="D49" s="2"/>
      <c r="E49" s="2"/>
      <c r="F49" s="2"/>
      <c r="G49" s="2"/>
      <c r="H49" s="2" t="str">
        <f>IF(B49="","",D49*Paramètres!$B$2+E49*Paramètres!$B$3+F49+G49*(1+Paramètres!$B$5/100))</f>
        <v/>
      </c>
      <c r="I49" s="2"/>
      <c r="J49" s="2" t="str">
        <f>IF(I49="","",I49-(D49*Paramètres!$B$2+E49*Paramètres!$B$3+F49+G49))</f>
        <v/>
      </c>
      <c r="K49" s="2"/>
    </row>
    <row r="50" spans="1:11" x14ac:dyDescent="0.2">
      <c r="A50" s="2"/>
      <c r="B50" s="2"/>
      <c r="C50" s="2"/>
      <c r="D50" s="2"/>
      <c r="E50" s="2"/>
      <c r="F50" s="2"/>
      <c r="G50" s="2"/>
      <c r="H50" s="2" t="str">
        <f>IF(B50="","",D50*Paramètres!$B$2+E50*Paramètres!$B$3+F50+G50*(1+Paramètres!$B$5/100))</f>
        <v/>
      </c>
      <c r="I50" s="2"/>
      <c r="J50" s="2" t="str">
        <f>IF(I50="","",I50-(D50*Paramètres!$B$2+E50*Paramètres!$B$3+F50+G50))</f>
        <v/>
      </c>
      <c r="K50" s="2"/>
    </row>
    <row r="51" spans="1:11" x14ac:dyDescent="0.2">
      <c r="A51" s="2"/>
      <c r="B51" s="2"/>
      <c r="C51" s="2"/>
      <c r="D51" s="2"/>
      <c r="E51" s="2"/>
      <c r="F51" s="2"/>
      <c r="G51" s="2"/>
      <c r="H51" s="2" t="str">
        <f>IF(B51="","",D51*Paramètres!$B$2+E51*Paramètres!$B$3+F51+G51*(1+Paramètres!$B$5/100))</f>
        <v/>
      </c>
      <c r="I51" s="2"/>
      <c r="J51" s="2" t="str">
        <f>IF(I51="","",I51-(D51*Paramètres!$B$2+E51*Paramètres!$B$3+F51+G51))</f>
        <v/>
      </c>
      <c r="K51" s="2"/>
    </row>
    <row r="52" spans="1:11" x14ac:dyDescent="0.2">
      <c r="A52" s="2"/>
      <c r="B52" s="2"/>
      <c r="C52" s="2"/>
      <c r="D52" s="2"/>
      <c r="E52" s="2"/>
      <c r="F52" s="2"/>
      <c r="G52" s="2"/>
      <c r="H52" s="2" t="str">
        <f>IF(B52="","",D52*Paramètres!$B$2+E52*Paramètres!$B$3+F52+G52*(1+Paramètres!$B$5/100))</f>
        <v/>
      </c>
      <c r="I52" s="2"/>
      <c r="J52" s="2" t="str">
        <f>IF(I52="","",I52-(D52*Paramètres!$B$2+E52*Paramètres!$B$3+F52+G52))</f>
        <v/>
      </c>
      <c r="K52" s="2"/>
    </row>
    <row r="53" spans="1:11" x14ac:dyDescent="0.2">
      <c r="A53" s="2"/>
      <c r="B53" s="2"/>
      <c r="C53" s="2"/>
      <c r="D53" s="2"/>
      <c r="E53" s="2"/>
      <c r="F53" s="2"/>
      <c r="G53" s="2"/>
      <c r="H53" s="2" t="str">
        <f>IF(B53="","",D53*Paramètres!$B$2+E53*Paramètres!$B$3+F53+G53*(1+Paramètres!$B$5/100))</f>
        <v/>
      </c>
      <c r="I53" s="2"/>
      <c r="J53" s="2" t="str">
        <f>IF(I53="","",I53-(D53*Paramètres!$B$2+E53*Paramètres!$B$3+F53+G53))</f>
        <v/>
      </c>
      <c r="K53" s="2"/>
    </row>
    <row r="54" spans="1:11" x14ac:dyDescent="0.2">
      <c r="A54" s="2"/>
      <c r="B54" s="2"/>
      <c r="C54" s="2"/>
      <c r="D54" s="2"/>
      <c r="E54" s="2"/>
      <c r="F54" s="2"/>
      <c r="G54" s="2"/>
      <c r="H54" s="2" t="str">
        <f>IF(B54="","",D54*Paramètres!$B$2+E54*Paramètres!$B$3+F54+G54*(1+Paramètres!$B$5/100))</f>
        <v/>
      </c>
      <c r="I54" s="2"/>
      <c r="J54" s="2" t="str">
        <f>IF(I54="","",I54-(D54*Paramètres!$B$2+E54*Paramètres!$B$3+F54+G54))</f>
        <v/>
      </c>
      <c r="K54" s="2"/>
    </row>
    <row r="55" spans="1:11" x14ac:dyDescent="0.2">
      <c r="A55" s="2"/>
      <c r="B55" s="2"/>
      <c r="C55" s="2"/>
      <c r="D55" s="2"/>
      <c r="E55" s="2"/>
      <c r="F55" s="2"/>
      <c r="G55" s="2"/>
      <c r="H55" s="2" t="str">
        <f>IF(B55="","",D55*Paramètres!$B$2+E55*Paramètres!$B$3+F55+G55*(1+Paramètres!$B$5/100))</f>
        <v/>
      </c>
      <c r="I55" s="2"/>
      <c r="J55" s="2" t="str">
        <f>IF(I55="","",I55-(D55*Paramètres!$B$2+E55*Paramètres!$B$3+F55+G55))</f>
        <v/>
      </c>
      <c r="K55" s="2"/>
    </row>
    <row r="56" spans="1:11" x14ac:dyDescent="0.2">
      <c r="A56" s="2"/>
      <c r="B56" s="2"/>
      <c r="C56" s="2"/>
      <c r="D56" s="2"/>
      <c r="E56" s="2"/>
      <c r="F56" s="2"/>
      <c r="G56" s="2"/>
      <c r="H56" s="2" t="str">
        <f>IF(B56="","",D56*Paramètres!$B$2+E56*Paramètres!$B$3+F56+G56*(1+Paramètres!$B$5/100))</f>
        <v/>
      </c>
      <c r="I56" s="2"/>
      <c r="J56" s="2" t="str">
        <f>IF(I56="","",I56-(D56*Paramètres!$B$2+E56*Paramètres!$B$3+F56+G56))</f>
        <v/>
      </c>
      <c r="K56" s="2"/>
    </row>
    <row r="57" spans="1:11" x14ac:dyDescent="0.2">
      <c r="A57" s="2"/>
      <c r="B57" s="2"/>
      <c r="C57" s="2"/>
      <c r="D57" s="2"/>
      <c r="E57" s="2"/>
      <c r="F57" s="2"/>
      <c r="G57" s="2"/>
      <c r="H57" s="2" t="str">
        <f>IF(B57="","",D57*Paramètres!$B$2+E57*Paramètres!$B$3+F57+G57*(1+Paramètres!$B$5/100))</f>
        <v/>
      </c>
      <c r="I57" s="2"/>
      <c r="J57" s="2" t="str">
        <f>IF(I57="","",I57-(D57*Paramètres!$B$2+E57*Paramètres!$B$3+F57+G57))</f>
        <v/>
      </c>
      <c r="K57" s="2"/>
    </row>
    <row r="58" spans="1:11" x14ac:dyDescent="0.2">
      <c r="A58" s="2"/>
      <c r="B58" s="2"/>
      <c r="C58" s="2"/>
      <c r="D58" s="2"/>
      <c r="E58" s="2"/>
      <c r="F58" s="2"/>
      <c r="G58" s="2"/>
      <c r="H58" s="2" t="str">
        <f>IF(B58="","",D58*Paramètres!$B$2+E58*Paramètres!$B$3+F58+G58*(1+Paramètres!$B$5/100))</f>
        <v/>
      </c>
      <c r="I58" s="2"/>
      <c r="J58" s="2" t="str">
        <f>IF(I58="","",I58-(D58*Paramètres!$B$2+E58*Paramètres!$B$3+F58+G58))</f>
        <v/>
      </c>
      <c r="K58" s="2"/>
    </row>
    <row r="59" spans="1:11" x14ac:dyDescent="0.2">
      <c r="A59" s="2"/>
      <c r="B59" s="2"/>
      <c r="C59" s="2"/>
      <c r="D59" s="2"/>
      <c r="E59" s="2"/>
      <c r="F59" s="2"/>
      <c r="G59" s="2"/>
      <c r="H59" s="2" t="str">
        <f>IF(B59="","",D59*Paramètres!$B$2+E59*Paramètres!$B$3+F59+G59*(1+Paramètres!$B$5/100))</f>
        <v/>
      </c>
      <c r="I59" s="2"/>
      <c r="J59" s="2" t="str">
        <f>IF(I59="","",I59-(D59*Paramètres!$B$2+E59*Paramètres!$B$3+F59+G59))</f>
        <v/>
      </c>
      <c r="K59" s="2"/>
    </row>
    <row r="60" spans="1:11" x14ac:dyDescent="0.2">
      <c r="A60" s="2"/>
      <c r="B60" s="2"/>
      <c r="C60" s="2"/>
      <c r="D60" s="2"/>
      <c r="E60" s="2"/>
      <c r="F60" s="2"/>
      <c r="G60" s="2"/>
      <c r="H60" s="2" t="str">
        <f>IF(B60="","",D60*Paramètres!$B$2+E60*Paramètres!$B$3+F60+G60*(1+Paramètres!$B$5/100))</f>
        <v/>
      </c>
      <c r="I60" s="2"/>
      <c r="J60" s="2" t="str">
        <f>IF(I60="","",I60-(D60*Paramètres!$B$2+E60*Paramètres!$B$3+F60+G60))</f>
        <v/>
      </c>
      <c r="K60" s="2"/>
    </row>
    <row r="61" spans="1:11" x14ac:dyDescent="0.2">
      <c r="A61" s="2"/>
      <c r="B61" s="2"/>
      <c r="C61" s="2"/>
      <c r="D61" s="2"/>
      <c r="E61" s="2"/>
      <c r="F61" s="2"/>
      <c r="G61" s="2"/>
      <c r="H61" s="2" t="str">
        <f>IF(B61="","",D61*Paramètres!$B$2+E61*Paramètres!$B$3+F61+G61*(1+Paramètres!$B$5/100))</f>
        <v/>
      </c>
      <c r="I61" s="2"/>
      <c r="J61" s="2" t="str">
        <f>IF(I61="","",I61-(D61*Paramètres!$B$2+E61*Paramètres!$B$3+F61+G61))</f>
        <v/>
      </c>
      <c r="K61" s="2"/>
    </row>
    <row r="62" spans="1:11" x14ac:dyDescent="0.2">
      <c r="A62" s="2"/>
      <c r="B62" s="2"/>
      <c r="C62" s="2"/>
      <c r="D62" s="2"/>
      <c r="E62" s="2"/>
      <c r="F62" s="2"/>
      <c r="G62" s="2"/>
      <c r="H62" s="2" t="str">
        <f>IF(B62="","",D62*Paramètres!$B$2+E62*Paramètres!$B$3+F62+G62*(1+Paramètres!$B$5/100))</f>
        <v/>
      </c>
      <c r="I62" s="2"/>
      <c r="J62" s="2" t="str">
        <f>IF(I62="","",I62-(D62*Paramètres!$B$2+E62*Paramètres!$B$3+F62+G62))</f>
        <v/>
      </c>
      <c r="K62" s="2"/>
    </row>
    <row r="63" spans="1:11" x14ac:dyDescent="0.2">
      <c r="A63" s="2"/>
      <c r="B63" s="2"/>
      <c r="C63" s="2"/>
      <c r="D63" s="2"/>
      <c r="E63" s="2"/>
      <c r="F63" s="2"/>
      <c r="G63" s="2"/>
      <c r="H63" s="2" t="str">
        <f>IF(B63="","",D63*Paramètres!$B$2+E63*Paramètres!$B$3+F63+G63*(1+Paramètres!$B$5/100))</f>
        <v/>
      </c>
      <c r="I63" s="2"/>
      <c r="J63" s="2" t="str">
        <f>IF(I63="","",I63-(D63*Paramètres!$B$2+E63*Paramètres!$B$3+F63+G63))</f>
        <v/>
      </c>
      <c r="K63" s="2"/>
    </row>
    <row r="64" spans="1:11" x14ac:dyDescent="0.2">
      <c r="A64" s="2"/>
      <c r="B64" s="2"/>
      <c r="C64" s="2"/>
      <c r="D64" s="2"/>
      <c r="E64" s="2"/>
      <c r="F64" s="2"/>
      <c r="G64" s="2"/>
      <c r="H64" s="2" t="str">
        <f>IF(B64="","",D64*Paramètres!$B$2+E64*Paramètres!$B$3+F64+G64*(1+Paramètres!$B$5/100))</f>
        <v/>
      </c>
      <c r="I64" s="2"/>
      <c r="J64" s="2" t="str">
        <f>IF(I64="","",I64-(D64*Paramètres!$B$2+E64*Paramètres!$B$3+F64+G64))</f>
        <v/>
      </c>
      <c r="K64" s="2"/>
    </row>
    <row r="65" spans="1:11" x14ac:dyDescent="0.2">
      <c r="A65" s="2"/>
      <c r="B65" s="2"/>
      <c r="C65" s="2"/>
      <c r="D65" s="2"/>
      <c r="E65" s="2"/>
      <c r="F65" s="2"/>
      <c r="G65" s="2"/>
      <c r="H65" s="2" t="str">
        <f>IF(B65="","",D65*Paramètres!$B$2+E65*Paramètres!$B$3+F65+G65*(1+Paramètres!$B$5/100))</f>
        <v/>
      </c>
      <c r="I65" s="2"/>
      <c r="J65" s="2" t="str">
        <f>IF(I65="","",I65-(D65*Paramètres!$B$2+E65*Paramètres!$B$3+F65+G65))</f>
        <v/>
      </c>
      <c r="K65" s="2"/>
    </row>
    <row r="66" spans="1:11" x14ac:dyDescent="0.2">
      <c r="A66" s="2"/>
      <c r="B66" s="2"/>
      <c r="C66" s="2"/>
      <c r="D66" s="2"/>
      <c r="E66" s="2"/>
      <c r="F66" s="2"/>
      <c r="G66" s="2"/>
      <c r="H66" s="2" t="str">
        <f>IF(B66="","",D66*Paramètres!$B$2+E66*Paramètres!$B$3+F66+G66*(1+Paramètres!$B$5/100))</f>
        <v/>
      </c>
      <c r="I66" s="2"/>
      <c r="J66" s="2" t="str">
        <f>IF(I66="","",I66-(D66*Paramètres!$B$2+E66*Paramètres!$B$3+F66+G66))</f>
        <v/>
      </c>
      <c r="K66" s="2"/>
    </row>
    <row r="67" spans="1:11" x14ac:dyDescent="0.2">
      <c r="A67" s="2"/>
      <c r="B67" s="2"/>
      <c r="C67" s="2"/>
      <c r="D67" s="2"/>
      <c r="E67" s="2"/>
      <c r="F67" s="2"/>
      <c r="G67" s="2"/>
      <c r="H67" s="2" t="str">
        <f>IF(B67="","",D67*Paramètres!$B$2+E67*Paramètres!$B$3+F67+G67*(1+Paramètres!$B$5/100))</f>
        <v/>
      </c>
      <c r="I67" s="2"/>
      <c r="J67" s="2" t="str">
        <f>IF(I67="","",I67-(D67*Paramètres!$B$2+E67*Paramètres!$B$3+F67+G67))</f>
        <v/>
      </c>
      <c r="K67" s="2"/>
    </row>
    <row r="68" spans="1:11" x14ac:dyDescent="0.2">
      <c r="A68" s="2"/>
      <c r="B68" s="2"/>
      <c r="C68" s="2"/>
      <c r="D68" s="2"/>
      <c r="E68" s="2"/>
      <c r="F68" s="2"/>
      <c r="G68" s="2"/>
      <c r="H68" s="2" t="str">
        <f>IF(B68="","",D68*Paramètres!$B$2+E68*Paramètres!$B$3+F68+G68*(1+Paramètres!$B$5/100))</f>
        <v/>
      </c>
      <c r="I68" s="2"/>
      <c r="J68" s="2" t="str">
        <f>IF(I68="","",I68-(D68*Paramètres!$B$2+E68*Paramètres!$B$3+F68+G68))</f>
        <v/>
      </c>
      <c r="K68" s="2"/>
    </row>
    <row r="69" spans="1:11" x14ac:dyDescent="0.2">
      <c r="A69" s="2"/>
      <c r="B69" s="2"/>
      <c r="C69" s="2"/>
      <c r="D69" s="2"/>
      <c r="E69" s="2"/>
      <c r="F69" s="2"/>
      <c r="G69" s="2"/>
      <c r="H69" s="2" t="str">
        <f>IF(B69="","",D69*Paramètres!$B$2+E69*Paramètres!$B$3+F69+G69*(1+Paramètres!$B$5/100))</f>
        <v/>
      </c>
      <c r="I69" s="2"/>
      <c r="J69" s="2" t="str">
        <f>IF(I69="","",I69-(D69*Paramètres!$B$2+E69*Paramètres!$B$3+F69+G69))</f>
        <v/>
      </c>
      <c r="K69" s="2"/>
    </row>
    <row r="70" spans="1:11" x14ac:dyDescent="0.2">
      <c r="A70" s="2"/>
      <c r="B70" s="2"/>
      <c r="C70" s="2"/>
      <c r="D70" s="2"/>
      <c r="E70" s="2"/>
      <c r="F70" s="2"/>
      <c r="G70" s="2"/>
      <c r="H70" s="2" t="str">
        <f>IF(B70="","",D70*Paramètres!$B$2+E70*Paramètres!$B$3+F70+G70*(1+Paramètres!$B$5/100))</f>
        <v/>
      </c>
      <c r="I70" s="2"/>
      <c r="J70" s="2" t="str">
        <f>IF(I70="","",I70-(D70*Paramètres!$B$2+E70*Paramètres!$B$3+F70+G70))</f>
        <v/>
      </c>
      <c r="K70" s="2"/>
    </row>
    <row r="71" spans="1:11" x14ac:dyDescent="0.2">
      <c r="A71" s="2"/>
      <c r="B71" s="2"/>
      <c r="C71" s="2"/>
      <c r="D71" s="2"/>
      <c r="E71" s="2"/>
      <c r="F71" s="2"/>
      <c r="G71" s="2"/>
      <c r="H71" s="2" t="str">
        <f>IF(B71="","",D71*Paramètres!$B$2+E71*Paramètres!$B$3+F71+G71*(1+Paramètres!$B$5/100))</f>
        <v/>
      </c>
      <c r="I71" s="2"/>
      <c r="J71" s="2" t="str">
        <f>IF(I71="","",I71-(D71*Paramètres!$B$2+E71*Paramètres!$B$3+F71+G71))</f>
        <v/>
      </c>
      <c r="K71" s="2"/>
    </row>
    <row r="72" spans="1:11" x14ac:dyDescent="0.2">
      <c r="A72" s="2"/>
      <c r="B72" s="2"/>
      <c r="C72" s="2"/>
      <c r="D72" s="2"/>
      <c r="E72" s="2"/>
      <c r="F72" s="2"/>
      <c r="G72" s="2"/>
      <c r="H72" s="2" t="str">
        <f>IF(B72="","",D72*Paramètres!$B$2+E72*Paramètres!$B$3+F72+G72*(1+Paramètres!$B$5/100))</f>
        <v/>
      </c>
      <c r="I72" s="2"/>
      <c r="J72" s="2" t="str">
        <f>IF(I72="","",I72-(D72*Paramètres!$B$2+E72*Paramètres!$B$3+F72+G72))</f>
        <v/>
      </c>
      <c r="K72" s="2"/>
    </row>
    <row r="73" spans="1:11" x14ac:dyDescent="0.2">
      <c r="A73" s="2"/>
      <c r="B73" s="2"/>
      <c r="C73" s="2"/>
      <c r="D73" s="2"/>
      <c r="E73" s="2"/>
      <c r="F73" s="2"/>
      <c r="G73" s="2"/>
      <c r="H73" s="2" t="str">
        <f>IF(B73="","",D73*Paramètres!$B$2+E73*Paramètres!$B$3+F73+G73*(1+Paramètres!$B$5/100))</f>
        <v/>
      </c>
      <c r="I73" s="2"/>
      <c r="J73" s="2" t="str">
        <f>IF(I73="","",I73-(D73*Paramètres!$B$2+E73*Paramètres!$B$3+F73+G73))</f>
        <v/>
      </c>
      <c r="K73" s="2"/>
    </row>
    <row r="74" spans="1:11" x14ac:dyDescent="0.2">
      <c r="A74" s="2"/>
      <c r="B74" s="2"/>
      <c r="C74" s="2"/>
      <c r="D74" s="2"/>
      <c r="E74" s="2"/>
      <c r="F74" s="2"/>
      <c r="G74" s="2"/>
      <c r="H74" s="2" t="str">
        <f>IF(B74="","",D74*Paramètres!$B$2+E74*Paramètres!$B$3+F74+G74*(1+Paramètres!$B$5/100))</f>
        <v/>
      </c>
      <c r="I74" s="2"/>
      <c r="J74" s="2" t="str">
        <f>IF(I74="","",I74-(D74*Paramètres!$B$2+E74*Paramètres!$B$3+F74+G74))</f>
        <v/>
      </c>
      <c r="K74" s="2"/>
    </row>
    <row r="75" spans="1:11" x14ac:dyDescent="0.2">
      <c r="A75" s="2"/>
      <c r="B75" s="2"/>
      <c r="C75" s="2"/>
      <c r="D75" s="2"/>
      <c r="E75" s="2"/>
      <c r="F75" s="2"/>
      <c r="G75" s="2"/>
      <c r="H75" s="2" t="str">
        <f>IF(B75="","",D75*Paramètres!$B$2+E75*Paramètres!$B$3+F75+G75*(1+Paramètres!$B$5/100))</f>
        <v/>
      </c>
      <c r="I75" s="2"/>
      <c r="J75" s="2" t="str">
        <f>IF(I75="","",I75-(D75*Paramètres!$B$2+E75*Paramètres!$B$3+F75+G75))</f>
        <v/>
      </c>
      <c r="K75" s="2"/>
    </row>
    <row r="76" spans="1:11" x14ac:dyDescent="0.2">
      <c r="A76" s="2"/>
      <c r="B76" s="2"/>
      <c r="C76" s="2"/>
      <c r="D76" s="2"/>
      <c r="E76" s="2"/>
      <c r="F76" s="2"/>
      <c r="G76" s="2"/>
      <c r="H76" s="2" t="str">
        <f>IF(B76="","",D76*Paramètres!$B$2+E76*Paramètres!$B$3+F76+G76*(1+Paramètres!$B$5/100))</f>
        <v/>
      </c>
      <c r="I76" s="2"/>
      <c r="J76" s="2" t="str">
        <f>IF(I76="","",I76-(D76*Paramètres!$B$2+E76*Paramètres!$B$3+F76+G76))</f>
        <v/>
      </c>
      <c r="K76" s="2"/>
    </row>
    <row r="77" spans="1:11" x14ac:dyDescent="0.2">
      <c r="A77" s="2"/>
      <c r="B77" s="2"/>
      <c r="C77" s="2"/>
      <c r="D77" s="2"/>
      <c r="E77" s="2"/>
      <c r="F77" s="2"/>
      <c r="G77" s="2"/>
      <c r="H77" s="2" t="str">
        <f>IF(B77="","",D77*Paramètres!$B$2+E77*Paramètres!$B$3+F77+G77*(1+Paramètres!$B$5/100))</f>
        <v/>
      </c>
      <c r="I77" s="2"/>
      <c r="J77" s="2" t="str">
        <f>IF(I77="","",I77-(D77*Paramètres!$B$2+E77*Paramètres!$B$3+F77+G77))</f>
        <v/>
      </c>
      <c r="K77" s="2"/>
    </row>
    <row r="78" spans="1:11" x14ac:dyDescent="0.2">
      <c r="A78" s="2"/>
      <c r="B78" s="2"/>
      <c r="C78" s="2"/>
      <c r="D78" s="2"/>
      <c r="E78" s="2"/>
      <c r="F78" s="2"/>
      <c r="G78" s="2"/>
      <c r="H78" s="2" t="str">
        <f>IF(B78="","",D78*Paramètres!$B$2+E78*Paramètres!$B$3+F78+G78*(1+Paramètres!$B$5/100))</f>
        <v/>
      </c>
      <c r="I78" s="2"/>
      <c r="J78" s="2" t="str">
        <f>IF(I78="","",I78-(D78*Paramètres!$B$2+E78*Paramètres!$B$3+F78+G78))</f>
        <v/>
      </c>
      <c r="K78" s="2"/>
    </row>
    <row r="79" spans="1:11" x14ac:dyDescent="0.2">
      <c r="A79" s="2"/>
      <c r="B79" s="2"/>
      <c r="C79" s="2"/>
      <c r="D79" s="2"/>
      <c r="E79" s="2"/>
      <c r="F79" s="2"/>
      <c r="G79" s="2"/>
      <c r="H79" s="2" t="str">
        <f>IF(B79="","",D79*Paramètres!$B$2+E79*Paramètres!$B$3+F79+G79*(1+Paramètres!$B$5/100))</f>
        <v/>
      </c>
      <c r="I79" s="2"/>
      <c r="J79" s="2" t="str">
        <f>IF(I79="","",I79-(D79*Paramètres!$B$2+E79*Paramètres!$B$3+F79+G79))</f>
        <v/>
      </c>
      <c r="K79" s="2"/>
    </row>
    <row r="80" spans="1:11" x14ac:dyDescent="0.2">
      <c r="A80" s="2"/>
      <c r="B80" s="2"/>
      <c r="C80" s="2"/>
      <c r="D80" s="2"/>
      <c r="E80" s="2"/>
      <c r="F80" s="2"/>
      <c r="G80" s="2"/>
      <c r="H80" s="2" t="str">
        <f>IF(B80="","",D80*Paramètres!$B$2+E80*Paramètres!$B$3+F80+G80*(1+Paramètres!$B$5/100))</f>
        <v/>
      </c>
      <c r="I80" s="2"/>
      <c r="J80" s="2" t="str">
        <f>IF(I80="","",I80-(D80*Paramètres!$B$2+E80*Paramètres!$B$3+F80+G80))</f>
        <v/>
      </c>
      <c r="K80" s="2"/>
    </row>
    <row r="81" spans="1:11" x14ac:dyDescent="0.2">
      <c r="A81" s="2"/>
      <c r="B81" s="2"/>
      <c r="C81" s="2"/>
      <c r="D81" s="2"/>
      <c r="E81" s="2"/>
      <c r="F81" s="2"/>
      <c r="G81" s="2"/>
      <c r="H81" s="2" t="str">
        <f>IF(B81="","",D81*Paramètres!$B$2+E81*Paramètres!$B$3+F81+G81*(1+Paramètres!$B$5/100))</f>
        <v/>
      </c>
      <c r="I81" s="2"/>
      <c r="J81" s="2" t="str">
        <f>IF(I81="","",I81-(D81*Paramètres!$B$2+E81*Paramètres!$B$3+F81+G81))</f>
        <v/>
      </c>
      <c r="K81" s="2"/>
    </row>
    <row r="82" spans="1:11" x14ac:dyDescent="0.2">
      <c r="A82" s="2"/>
      <c r="B82" s="2"/>
      <c r="C82" s="2"/>
      <c r="D82" s="2"/>
      <c r="E82" s="2"/>
      <c r="F82" s="2"/>
      <c r="G82" s="2"/>
      <c r="H82" s="2" t="str">
        <f>IF(B82="","",D82*Paramètres!$B$2+E82*Paramètres!$B$3+F82+G82*(1+Paramètres!$B$5/100))</f>
        <v/>
      </c>
      <c r="I82" s="2"/>
      <c r="J82" s="2" t="str">
        <f>IF(I82="","",I82-(D82*Paramètres!$B$2+E82*Paramètres!$B$3+F82+G82))</f>
        <v/>
      </c>
      <c r="K82" s="2"/>
    </row>
    <row r="83" spans="1:11" x14ac:dyDescent="0.2">
      <c r="A83" s="2"/>
      <c r="B83" s="2"/>
      <c r="C83" s="2"/>
      <c r="D83" s="2"/>
      <c r="E83" s="2"/>
      <c r="F83" s="2"/>
      <c r="G83" s="2"/>
      <c r="H83" s="2" t="str">
        <f>IF(B83="","",D83*Paramètres!$B$2+E83*Paramètres!$B$3+F83+G83*(1+Paramètres!$B$5/100))</f>
        <v/>
      </c>
      <c r="I83" s="2"/>
      <c r="J83" s="2" t="str">
        <f>IF(I83="","",I83-(D83*Paramètres!$B$2+E83*Paramètres!$B$3+F83+G83))</f>
        <v/>
      </c>
      <c r="K83" s="2"/>
    </row>
    <row r="84" spans="1:11" x14ac:dyDescent="0.2">
      <c r="A84" s="2"/>
      <c r="B84" s="2"/>
      <c r="C84" s="2"/>
      <c r="D84" s="2"/>
      <c r="E84" s="2"/>
      <c r="F84" s="2"/>
      <c r="G84" s="2"/>
      <c r="H84" s="2" t="str">
        <f>IF(B84="","",D84*Paramètres!$B$2+E84*Paramètres!$B$3+F84+G84*(1+Paramètres!$B$5/100))</f>
        <v/>
      </c>
      <c r="I84" s="2"/>
      <c r="J84" s="2" t="str">
        <f>IF(I84="","",I84-(D84*Paramètres!$B$2+E84*Paramètres!$B$3+F84+G84))</f>
        <v/>
      </c>
      <c r="K84" s="2"/>
    </row>
    <row r="85" spans="1:11" x14ac:dyDescent="0.2">
      <c r="A85" s="2"/>
      <c r="B85" s="2"/>
      <c r="C85" s="2"/>
      <c r="D85" s="2"/>
      <c r="E85" s="2"/>
      <c r="F85" s="2"/>
      <c r="G85" s="2"/>
      <c r="H85" s="2" t="str">
        <f>IF(B85="","",D85*Paramètres!$B$2+E85*Paramètres!$B$3+F85+G85*(1+Paramètres!$B$5/100))</f>
        <v/>
      </c>
      <c r="I85" s="2"/>
      <c r="J85" s="2" t="str">
        <f>IF(I85="","",I85-(D85*Paramètres!$B$2+E85*Paramètres!$B$3+F85+G85))</f>
        <v/>
      </c>
      <c r="K85" s="2"/>
    </row>
    <row r="86" spans="1:11" x14ac:dyDescent="0.2">
      <c r="A86" s="2"/>
      <c r="B86" s="2"/>
      <c r="C86" s="2"/>
      <c r="D86" s="2"/>
      <c r="E86" s="2"/>
      <c r="F86" s="2"/>
      <c r="G86" s="2"/>
      <c r="H86" s="2" t="str">
        <f>IF(B86="","",D86*Paramètres!$B$2+E86*Paramètres!$B$3+F86+G86*(1+Paramètres!$B$5/100))</f>
        <v/>
      </c>
      <c r="I86" s="2"/>
      <c r="J86" s="2" t="str">
        <f>IF(I86="","",I86-(D86*Paramètres!$B$2+E86*Paramètres!$B$3+F86+G86))</f>
        <v/>
      </c>
      <c r="K86" s="2"/>
    </row>
    <row r="87" spans="1:11" x14ac:dyDescent="0.2">
      <c r="A87" s="2"/>
      <c r="B87" s="2"/>
      <c r="C87" s="2"/>
      <c r="D87" s="2"/>
      <c r="E87" s="2"/>
      <c r="F87" s="2"/>
      <c r="G87" s="2"/>
      <c r="H87" s="2" t="str">
        <f>IF(B87="","",D87*Paramètres!$B$2+E87*Paramètres!$B$3+F87+G87*(1+Paramètres!$B$5/100))</f>
        <v/>
      </c>
      <c r="I87" s="2"/>
      <c r="J87" s="2" t="str">
        <f>IF(I87="","",I87-(D87*Paramètres!$B$2+E87*Paramètres!$B$3+F87+G87))</f>
        <v/>
      </c>
      <c r="K87" s="2"/>
    </row>
    <row r="88" spans="1:11" x14ac:dyDescent="0.2">
      <c r="A88" s="2"/>
      <c r="B88" s="2"/>
      <c r="C88" s="2"/>
      <c r="D88" s="2"/>
      <c r="E88" s="2"/>
      <c r="F88" s="2"/>
      <c r="G88" s="2"/>
      <c r="H88" s="2" t="str">
        <f>IF(B88="","",D88*Paramètres!$B$2+E88*Paramètres!$B$3+F88+G88*(1+Paramètres!$B$5/100))</f>
        <v/>
      </c>
      <c r="I88" s="2"/>
      <c r="J88" s="2" t="str">
        <f>IF(I88="","",I88-(D88*Paramètres!$B$2+E88*Paramètres!$B$3+F88+G88))</f>
        <v/>
      </c>
      <c r="K88" s="2"/>
    </row>
    <row r="89" spans="1:11" x14ac:dyDescent="0.2">
      <c r="A89" s="2"/>
      <c r="B89" s="2"/>
      <c r="C89" s="2"/>
      <c r="D89" s="2"/>
      <c r="E89" s="2"/>
      <c r="F89" s="2"/>
      <c r="G89" s="2"/>
      <c r="H89" s="2" t="str">
        <f>IF(B89="","",D89*Paramètres!$B$2+E89*Paramètres!$B$3+F89+G89*(1+Paramètres!$B$5/100))</f>
        <v/>
      </c>
      <c r="I89" s="2"/>
      <c r="J89" s="2" t="str">
        <f>IF(I89="","",I89-(D89*Paramètres!$B$2+E89*Paramètres!$B$3+F89+G89))</f>
        <v/>
      </c>
      <c r="K89" s="2"/>
    </row>
    <row r="90" spans="1:11" x14ac:dyDescent="0.2">
      <c r="A90" s="2"/>
      <c r="B90" s="2"/>
      <c r="C90" s="2"/>
      <c r="D90" s="2"/>
      <c r="E90" s="2"/>
      <c r="F90" s="2"/>
      <c r="G90" s="2"/>
      <c r="H90" s="2" t="str">
        <f>IF(B90="","",D90*Paramètres!$B$2+E90*Paramètres!$B$3+F90+G90*(1+Paramètres!$B$5/100))</f>
        <v/>
      </c>
      <c r="I90" s="2"/>
      <c r="J90" s="2" t="str">
        <f>IF(I90="","",I90-(D90*Paramètres!$B$2+E90*Paramètres!$B$3+F90+G90))</f>
        <v/>
      </c>
      <c r="K90" s="2"/>
    </row>
    <row r="91" spans="1:11" x14ac:dyDescent="0.2">
      <c r="A91" s="2"/>
      <c r="B91" s="2"/>
      <c r="C91" s="2"/>
      <c r="D91" s="2"/>
      <c r="E91" s="2"/>
      <c r="F91" s="2"/>
      <c r="G91" s="2"/>
      <c r="H91" s="2" t="str">
        <f>IF(B91="","",D91*Paramètres!$B$2+E91*Paramètres!$B$3+F91+G91*(1+Paramètres!$B$5/100))</f>
        <v/>
      </c>
      <c r="I91" s="2"/>
      <c r="J91" s="2" t="str">
        <f>IF(I91="","",I91-(D91*Paramètres!$B$2+E91*Paramètres!$B$3+F91+G91))</f>
        <v/>
      </c>
      <c r="K91" s="2"/>
    </row>
    <row r="92" spans="1:11" x14ac:dyDescent="0.2">
      <c r="A92" s="2"/>
      <c r="B92" s="2"/>
      <c r="C92" s="2"/>
      <c r="D92" s="2"/>
      <c r="E92" s="2"/>
      <c r="F92" s="2"/>
      <c r="G92" s="2"/>
      <c r="H92" s="2" t="str">
        <f>IF(B92="","",D92*Paramètres!$B$2+E92*Paramètres!$B$3+F92+G92*(1+Paramètres!$B$5/100))</f>
        <v/>
      </c>
      <c r="I92" s="2"/>
      <c r="J92" s="2" t="str">
        <f>IF(I92="","",I92-(D92*Paramètres!$B$2+E92*Paramètres!$B$3+F92+G92))</f>
        <v/>
      </c>
      <c r="K92" s="2"/>
    </row>
    <row r="93" spans="1:11" x14ac:dyDescent="0.2">
      <c r="A93" s="2"/>
      <c r="B93" s="2"/>
      <c r="C93" s="2"/>
      <c r="D93" s="2"/>
      <c r="E93" s="2"/>
      <c r="F93" s="2"/>
      <c r="G93" s="2"/>
      <c r="H93" s="2" t="str">
        <f>IF(B93="","",D93*Paramètres!$B$2+E93*Paramètres!$B$3+F93+G93*(1+Paramètres!$B$5/100))</f>
        <v/>
      </c>
      <c r="I93" s="2"/>
      <c r="J93" s="2" t="str">
        <f>IF(I93="","",I93-(D93*Paramètres!$B$2+E93*Paramètres!$B$3+F93+G93))</f>
        <v/>
      </c>
      <c r="K93" s="2"/>
    </row>
    <row r="94" spans="1:11" x14ac:dyDescent="0.2">
      <c r="A94" s="2"/>
      <c r="B94" s="2"/>
      <c r="C94" s="2"/>
      <c r="D94" s="2"/>
      <c r="E94" s="2"/>
      <c r="F94" s="2"/>
      <c r="G94" s="2"/>
      <c r="H94" s="2" t="str">
        <f>IF(B94="","",D94*Paramètres!$B$2+E94*Paramètres!$B$3+F94+G94*(1+Paramètres!$B$5/100))</f>
        <v/>
      </c>
      <c r="I94" s="2"/>
      <c r="J94" s="2" t="str">
        <f>IF(I94="","",I94-(D94*Paramètres!$B$2+E94*Paramètres!$B$3+F94+G94))</f>
        <v/>
      </c>
      <c r="K94" s="2"/>
    </row>
    <row r="95" spans="1:11" x14ac:dyDescent="0.2">
      <c r="A95" s="2"/>
      <c r="B95" s="2"/>
      <c r="C95" s="2"/>
      <c r="D95" s="2"/>
      <c r="E95" s="2"/>
      <c r="F95" s="2"/>
      <c r="G95" s="2"/>
      <c r="H95" s="2" t="str">
        <f>IF(B95="","",D95*Paramètres!$B$2+E95*Paramètres!$B$3+F95+G95*(1+Paramètres!$B$5/100))</f>
        <v/>
      </c>
      <c r="I95" s="2"/>
      <c r="J95" s="2" t="str">
        <f>IF(I95="","",I95-(D95*Paramètres!$B$2+E95*Paramètres!$B$3+F95+G95))</f>
        <v/>
      </c>
      <c r="K95" s="2"/>
    </row>
    <row r="96" spans="1:11" x14ac:dyDescent="0.2">
      <c r="A96" s="2"/>
      <c r="B96" s="2"/>
      <c r="C96" s="2"/>
      <c r="D96" s="2"/>
      <c r="E96" s="2"/>
      <c r="F96" s="2"/>
      <c r="G96" s="2"/>
      <c r="H96" s="2" t="str">
        <f>IF(B96="","",D96*Paramètres!$B$2+E96*Paramètres!$B$3+F96+G96*(1+Paramètres!$B$5/100))</f>
        <v/>
      </c>
      <c r="I96" s="2"/>
      <c r="J96" s="2" t="str">
        <f>IF(I96="","",I96-(D96*Paramètres!$B$2+E96*Paramètres!$B$3+F96+G96))</f>
        <v/>
      </c>
      <c r="K96" s="2"/>
    </row>
    <row r="97" spans="1:11" x14ac:dyDescent="0.2">
      <c r="A97" s="2"/>
      <c r="B97" s="2"/>
      <c r="C97" s="2"/>
      <c r="D97" s="2"/>
      <c r="E97" s="2"/>
      <c r="F97" s="2"/>
      <c r="G97" s="2"/>
      <c r="H97" s="2" t="str">
        <f>IF(B97="","",D97*Paramètres!$B$2+E97*Paramètres!$B$3+F97+G97*(1+Paramètres!$B$5/100))</f>
        <v/>
      </c>
      <c r="I97" s="2"/>
      <c r="J97" s="2" t="str">
        <f>IF(I97="","",I97-(D97*Paramètres!$B$2+E97*Paramètres!$B$3+F97+G97))</f>
        <v/>
      </c>
      <c r="K97" s="2"/>
    </row>
    <row r="98" spans="1:11" x14ac:dyDescent="0.2">
      <c r="A98" s="2"/>
      <c r="B98" s="2"/>
      <c r="C98" s="2"/>
      <c r="D98" s="2"/>
      <c r="E98" s="2"/>
      <c r="F98" s="2"/>
      <c r="G98" s="2"/>
      <c r="H98" s="2" t="str">
        <f>IF(B98="","",D98*Paramètres!$B$2+E98*Paramètres!$B$3+F98+G98*(1+Paramètres!$B$5/100))</f>
        <v/>
      </c>
      <c r="I98" s="2"/>
      <c r="J98" s="2" t="str">
        <f>IF(I98="","",I98-(D98*Paramètres!$B$2+E98*Paramètres!$B$3+F98+G98))</f>
        <v/>
      </c>
      <c r="K98" s="2"/>
    </row>
    <row r="99" spans="1:11" x14ac:dyDescent="0.2">
      <c r="A99" s="2"/>
      <c r="B99" s="2"/>
      <c r="C99" s="2"/>
      <c r="D99" s="2"/>
      <c r="E99" s="2"/>
      <c r="F99" s="2"/>
      <c r="G99" s="2"/>
      <c r="H99" s="2" t="str">
        <f>IF(B99="","",D99*Paramètres!$B$2+E99*Paramètres!$B$3+F99+G99*(1+Paramètres!$B$5/100))</f>
        <v/>
      </c>
      <c r="I99" s="2"/>
      <c r="J99" s="2" t="str">
        <f>IF(I99="","",I99-(D99*Paramètres!$B$2+E99*Paramètres!$B$3+F99+G99))</f>
        <v/>
      </c>
      <c r="K99" s="2"/>
    </row>
    <row r="100" spans="1:11" x14ac:dyDescent="0.2">
      <c r="A100" s="2"/>
      <c r="B100" s="2"/>
      <c r="C100" s="2"/>
      <c r="D100" s="2"/>
      <c r="E100" s="2"/>
      <c r="F100" s="2"/>
      <c r="G100" s="2"/>
      <c r="H100" s="2" t="str">
        <f>IF(B100="","",D100*Paramètres!$B$2+E100*Paramètres!$B$3+F100+G100*(1+Paramètres!$B$5/100))</f>
        <v/>
      </c>
      <c r="I100" s="2"/>
      <c r="J100" s="2" t="str">
        <f>IF(I100="","",I100-(D100*Paramètres!$B$2+E100*Paramètres!$B$3+F100+G100))</f>
        <v/>
      </c>
      <c r="K100" s="2"/>
    </row>
    <row r="101" spans="1:11" x14ac:dyDescent="0.2">
      <c r="A101" s="2"/>
      <c r="B101" s="2"/>
      <c r="C101" s="2"/>
      <c r="D101" s="2"/>
      <c r="E101" s="2"/>
      <c r="F101" s="2"/>
      <c r="G101" s="2"/>
      <c r="H101" s="2" t="str">
        <f>IF(B101="","",D101*Paramètres!$B$2+E101*Paramètres!$B$3+F101+G101*(1+Paramètres!$B$5/100))</f>
        <v/>
      </c>
      <c r="I101" s="2"/>
      <c r="J101" s="2" t="str">
        <f>IF(I101="","",I101-(D101*Paramètres!$B$2+E101*Paramètres!$B$3+F101+G101))</f>
        <v/>
      </c>
      <c r="K101" s="2"/>
    </row>
    <row r="102" spans="1:11" x14ac:dyDescent="0.2">
      <c r="A102" s="2"/>
      <c r="B102" s="2"/>
      <c r="C102" s="2"/>
      <c r="D102" s="2"/>
      <c r="E102" s="2"/>
      <c r="F102" s="2"/>
      <c r="G102" s="2"/>
      <c r="H102" s="2" t="str">
        <f>IF(B102="","",D102*Paramètres!$B$2+E102*Paramètres!$B$3+F102+G102*(1+Paramètres!$B$5/100))</f>
        <v/>
      </c>
      <c r="I102" s="2"/>
      <c r="J102" s="2" t="str">
        <f>IF(I102="","",I102-(D102*Paramètres!$B$2+E102*Paramètres!$B$3+F102+G102))</f>
        <v/>
      </c>
      <c r="K102" s="2"/>
    </row>
    <row r="103" spans="1:11" x14ac:dyDescent="0.2">
      <c r="A103" s="2"/>
      <c r="B103" s="2"/>
      <c r="C103" s="2"/>
      <c r="D103" s="2"/>
      <c r="E103" s="2"/>
      <c r="F103" s="2"/>
      <c r="G103" s="2"/>
      <c r="H103" s="2" t="str">
        <f>IF(B103="","",D103*Paramètres!$B$2+E103*Paramètres!$B$3+F103+G103*(1+Paramètres!$B$5/100))</f>
        <v/>
      </c>
      <c r="I103" s="2"/>
      <c r="J103" s="2" t="str">
        <f>IF(I103="","",I103-(D103*Paramètres!$B$2+E103*Paramètres!$B$3+F103+G103))</f>
        <v/>
      </c>
      <c r="K103" s="2"/>
    </row>
    <row r="104" spans="1:11" x14ac:dyDescent="0.2">
      <c r="A104" s="2"/>
      <c r="B104" s="2"/>
      <c r="C104" s="2"/>
      <c r="D104" s="2"/>
      <c r="E104" s="2"/>
      <c r="F104" s="2"/>
      <c r="G104" s="2"/>
      <c r="H104" s="2" t="str">
        <f>IF(B104="","",D104*Paramètres!$B$2+E104*Paramètres!$B$3+F104+G104*(1+Paramètres!$B$5/100))</f>
        <v/>
      </c>
      <c r="I104" s="2"/>
      <c r="J104" s="2" t="str">
        <f>IF(I104="","",I104-(D104*Paramètres!$B$2+E104*Paramètres!$B$3+F104+G104))</f>
        <v/>
      </c>
      <c r="K104" s="2"/>
    </row>
    <row r="105" spans="1:11" x14ac:dyDescent="0.2">
      <c r="A105" s="2"/>
      <c r="B105" s="2"/>
      <c r="C105" s="2"/>
      <c r="D105" s="2"/>
      <c r="E105" s="2"/>
      <c r="F105" s="2"/>
      <c r="G105" s="2"/>
      <c r="H105" s="2" t="str">
        <f>IF(B105="","",D105*Paramètres!$B$2+E105*Paramètres!$B$3+F105+G105*(1+Paramètres!$B$5/100))</f>
        <v/>
      </c>
      <c r="I105" s="2"/>
      <c r="J105" s="2" t="str">
        <f>IF(I105="","",I105-(D105*Paramètres!$B$2+E105*Paramètres!$B$3+F105+G105))</f>
        <v/>
      </c>
      <c r="K105" s="2"/>
    </row>
    <row r="106" spans="1:11" x14ac:dyDescent="0.2">
      <c r="A106" s="2"/>
      <c r="B106" s="2"/>
      <c r="C106" s="2"/>
      <c r="D106" s="2"/>
      <c r="E106" s="2"/>
      <c r="F106" s="2"/>
      <c r="G106" s="2"/>
      <c r="H106" s="2" t="str">
        <f>IF(B106="","",D106*Paramètres!$B$2+E106*Paramètres!$B$3+F106+G106*(1+Paramètres!$B$5/100))</f>
        <v/>
      </c>
      <c r="I106" s="2"/>
      <c r="J106" s="2" t="str">
        <f>IF(I106="","",I106-(D106*Paramètres!$B$2+E106*Paramètres!$B$3+F106+G106))</f>
        <v/>
      </c>
      <c r="K106" s="2"/>
    </row>
    <row r="107" spans="1:11" x14ac:dyDescent="0.2">
      <c r="A107" s="2"/>
      <c r="B107" s="2"/>
      <c r="C107" s="2"/>
      <c r="D107" s="2"/>
      <c r="E107" s="2"/>
      <c r="F107" s="2"/>
      <c r="G107" s="2"/>
      <c r="H107" s="2" t="str">
        <f>IF(B107="","",D107*Paramètres!$B$2+E107*Paramètres!$B$3+F107+G107*(1+Paramètres!$B$5/100))</f>
        <v/>
      </c>
      <c r="I107" s="2"/>
      <c r="J107" s="2" t="str">
        <f>IF(I107="","",I107-(D107*Paramètres!$B$2+E107*Paramètres!$B$3+F107+G107))</f>
        <v/>
      </c>
      <c r="K107" s="2"/>
    </row>
    <row r="108" spans="1:11" x14ac:dyDescent="0.2">
      <c r="A108" s="2"/>
      <c r="B108" s="2"/>
      <c r="C108" s="2"/>
      <c r="D108" s="2"/>
      <c r="E108" s="2"/>
      <c r="F108" s="2"/>
      <c r="G108" s="2"/>
      <c r="H108" s="2" t="str">
        <f>IF(B108="","",D108*Paramètres!$B$2+E108*Paramètres!$B$3+F108+G108*(1+Paramètres!$B$5/100))</f>
        <v/>
      </c>
      <c r="I108" s="2"/>
      <c r="J108" s="2" t="str">
        <f>IF(I108="","",I108-(D108*Paramètres!$B$2+E108*Paramètres!$B$3+F108+G108))</f>
        <v/>
      </c>
      <c r="K108" s="2"/>
    </row>
    <row r="109" spans="1:11" x14ac:dyDescent="0.2">
      <c r="A109" s="2"/>
      <c r="B109" s="2"/>
      <c r="C109" s="2"/>
      <c r="D109" s="2"/>
      <c r="E109" s="2"/>
      <c r="F109" s="2"/>
      <c r="G109" s="2"/>
      <c r="H109" s="2" t="str">
        <f>IF(B109="","",D109*Paramètres!$B$2+E109*Paramètres!$B$3+F109+G109*(1+Paramètres!$B$5/100))</f>
        <v/>
      </c>
      <c r="I109" s="2"/>
      <c r="J109" s="2" t="str">
        <f>IF(I109="","",I109-(D109*Paramètres!$B$2+E109*Paramètres!$B$3+F109+G109))</f>
        <v/>
      </c>
      <c r="K109" s="2"/>
    </row>
    <row r="110" spans="1:11" x14ac:dyDescent="0.2">
      <c r="A110" s="2"/>
      <c r="B110" s="2"/>
      <c r="C110" s="2"/>
      <c r="D110" s="2"/>
      <c r="E110" s="2"/>
      <c r="F110" s="2"/>
      <c r="G110" s="2"/>
      <c r="H110" s="2" t="str">
        <f>IF(B110="","",D110*Paramètres!$B$2+E110*Paramètres!$B$3+F110+G110*(1+Paramètres!$B$5/100))</f>
        <v/>
      </c>
      <c r="I110" s="2"/>
      <c r="J110" s="2" t="str">
        <f>IF(I110="","",I110-(D110*Paramètres!$B$2+E110*Paramètres!$B$3+F110+G110))</f>
        <v/>
      </c>
      <c r="K110" s="2"/>
    </row>
    <row r="111" spans="1:11" x14ac:dyDescent="0.2">
      <c r="A111" s="2"/>
      <c r="B111" s="2"/>
      <c r="C111" s="2"/>
      <c r="D111" s="2"/>
      <c r="E111" s="2"/>
      <c r="F111" s="2"/>
      <c r="G111" s="2"/>
      <c r="H111" s="2" t="str">
        <f>IF(B111="","",D111*Paramètres!$B$2+E111*Paramètres!$B$3+F111+G111*(1+Paramètres!$B$5/100))</f>
        <v/>
      </c>
      <c r="I111" s="2"/>
      <c r="J111" s="2" t="str">
        <f>IF(I111="","",I111-(D111*Paramètres!$B$2+E111*Paramètres!$B$3+F111+G111))</f>
        <v/>
      </c>
      <c r="K111" s="2"/>
    </row>
    <row r="112" spans="1:11" x14ac:dyDescent="0.2">
      <c r="A112" s="2"/>
      <c r="B112" s="2"/>
      <c r="C112" s="2"/>
      <c r="D112" s="2"/>
      <c r="E112" s="2"/>
      <c r="F112" s="2"/>
      <c r="G112" s="2"/>
      <c r="H112" s="2" t="str">
        <f>IF(B112="","",D112*Paramètres!$B$2+E112*Paramètres!$B$3+F112+G112*(1+Paramètres!$B$5/100))</f>
        <v/>
      </c>
      <c r="I112" s="2"/>
      <c r="J112" s="2" t="str">
        <f>IF(I112="","",I112-(D112*Paramètres!$B$2+E112*Paramètres!$B$3+F112+G112))</f>
        <v/>
      </c>
      <c r="K112" s="2"/>
    </row>
    <row r="113" spans="1:11" x14ac:dyDescent="0.2">
      <c r="A113" s="2"/>
      <c r="B113" s="2"/>
      <c r="C113" s="2"/>
      <c r="D113" s="2"/>
      <c r="E113" s="2"/>
      <c r="F113" s="2"/>
      <c r="G113" s="2"/>
      <c r="H113" s="2" t="str">
        <f>IF(B113="","",D113*Paramètres!$B$2+E113*Paramètres!$B$3+F113+G113*(1+Paramètres!$B$5/100))</f>
        <v/>
      </c>
      <c r="I113" s="2"/>
      <c r="J113" s="2" t="str">
        <f>IF(I113="","",I113-(D113*Paramètres!$B$2+E113*Paramètres!$B$3+F113+G113))</f>
        <v/>
      </c>
      <c r="K113" s="2"/>
    </row>
    <row r="114" spans="1:11" x14ac:dyDescent="0.2">
      <c r="A114" s="2"/>
      <c r="B114" s="2"/>
      <c r="C114" s="2"/>
      <c r="D114" s="2"/>
      <c r="E114" s="2"/>
      <c r="F114" s="2"/>
      <c r="G114" s="2"/>
      <c r="H114" s="2" t="str">
        <f>IF(B114="","",D114*Paramètres!$B$2+E114*Paramètres!$B$3+F114+G114*(1+Paramètres!$B$5/100))</f>
        <v/>
      </c>
      <c r="I114" s="2"/>
      <c r="J114" s="2" t="str">
        <f>IF(I114="","",I114-(D114*Paramètres!$B$2+E114*Paramètres!$B$3+F114+G114))</f>
        <v/>
      </c>
      <c r="K114" s="2"/>
    </row>
    <row r="115" spans="1:11" x14ac:dyDescent="0.2">
      <c r="A115" s="2"/>
      <c r="B115" s="2"/>
      <c r="C115" s="2"/>
      <c r="D115" s="2"/>
      <c r="E115" s="2"/>
      <c r="F115" s="2"/>
      <c r="G115" s="2"/>
      <c r="H115" s="2" t="str">
        <f>IF(B115="","",D115*Paramètres!$B$2+E115*Paramètres!$B$3+F115+G115*(1+Paramètres!$B$5/100))</f>
        <v/>
      </c>
      <c r="I115" s="2"/>
      <c r="J115" s="2" t="str">
        <f>IF(I115="","",I115-(D115*Paramètres!$B$2+E115*Paramètres!$B$3+F115+G115))</f>
        <v/>
      </c>
      <c r="K115" s="2"/>
    </row>
    <row r="116" spans="1:11" x14ac:dyDescent="0.2">
      <c r="A116" s="2"/>
      <c r="B116" s="2"/>
      <c r="C116" s="2"/>
      <c r="D116" s="2"/>
      <c r="E116" s="2"/>
      <c r="F116" s="2"/>
      <c r="G116" s="2"/>
      <c r="H116" s="2" t="str">
        <f>IF(B116="","",D116*Paramètres!$B$2+E116*Paramètres!$B$3+F116+G116*(1+Paramètres!$B$5/100))</f>
        <v/>
      </c>
      <c r="I116" s="2"/>
      <c r="J116" s="2" t="str">
        <f>IF(I116="","",I116-(D116*Paramètres!$B$2+E116*Paramètres!$B$3+F116+G116))</f>
        <v/>
      </c>
      <c r="K116" s="2"/>
    </row>
    <row r="117" spans="1:11" x14ac:dyDescent="0.2">
      <c r="A117" s="2"/>
      <c r="B117" s="2"/>
      <c r="C117" s="2"/>
      <c r="D117" s="2"/>
      <c r="E117" s="2"/>
      <c r="F117" s="2"/>
      <c r="G117" s="2"/>
      <c r="H117" s="2" t="str">
        <f>IF(B117="","",D117*Paramètres!$B$2+E117*Paramètres!$B$3+F117+G117*(1+Paramètres!$B$5/100))</f>
        <v/>
      </c>
      <c r="I117" s="2"/>
      <c r="J117" s="2" t="str">
        <f>IF(I117="","",I117-(D117*Paramètres!$B$2+E117*Paramètres!$B$3+F117+G117))</f>
        <v/>
      </c>
      <c r="K117" s="2"/>
    </row>
    <row r="118" spans="1:11" x14ac:dyDescent="0.2">
      <c r="A118" s="2"/>
      <c r="B118" s="2"/>
      <c r="C118" s="2"/>
      <c r="D118" s="2"/>
      <c r="E118" s="2"/>
      <c r="F118" s="2"/>
      <c r="G118" s="2"/>
      <c r="H118" s="2" t="str">
        <f>IF(B118="","",D118*Paramètres!$B$2+E118*Paramètres!$B$3+F118+G118*(1+Paramètres!$B$5/100))</f>
        <v/>
      </c>
      <c r="I118" s="2"/>
      <c r="J118" s="2" t="str">
        <f>IF(I118="","",I118-(D118*Paramètres!$B$2+E118*Paramètres!$B$3+F118+G118))</f>
        <v/>
      </c>
      <c r="K118" s="2"/>
    </row>
    <row r="119" spans="1:11" x14ac:dyDescent="0.2">
      <c r="A119" s="2"/>
      <c r="B119" s="2"/>
      <c r="C119" s="2"/>
      <c r="D119" s="2"/>
      <c r="E119" s="2"/>
      <c r="F119" s="2"/>
      <c r="G119" s="2"/>
      <c r="H119" s="2" t="str">
        <f>IF(B119="","",D119*Paramètres!$B$2+E119*Paramètres!$B$3+F119+G119*(1+Paramètres!$B$5/100))</f>
        <v/>
      </c>
      <c r="I119" s="2"/>
      <c r="J119" s="2" t="str">
        <f>IF(I119="","",I119-(D119*Paramètres!$B$2+E119*Paramètres!$B$3+F119+G119))</f>
        <v/>
      </c>
      <c r="K119" s="2"/>
    </row>
    <row r="120" spans="1:11" x14ac:dyDescent="0.2">
      <c r="A120" s="2"/>
      <c r="B120" s="2"/>
      <c r="C120" s="2"/>
      <c r="D120" s="2"/>
      <c r="E120" s="2"/>
      <c r="F120" s="2"/>
      <c r="G120" s="2"/>
      <c r="H120" s="2" t="str">
        <f>IF(B120="","",D120*Paramètres!$B$2+E120*Paramètres!$B$3+F120+G120*(1+Paramètres!$B$5/100))</f>
        <v/>
      </c>
      <c r="I120" s="2"/>
      <c r="J120" s="2" t="str">
        <f>IF(I120="","",I120-(D120*Paramètres!$B$2+E120*Paramètres!$B$3+F120+G120))</f>
        <v/>
      </c>
      <c r="K120" s="2"/>
    </row>
    <row r="121" spans="1:11" x14ac:dyDescent="0.2">
      <c r="A121" s="2"/>
      <c r="B121" s="2"/>
      <c r="C121" s="2"/>
      <c r="D121" s="2"/>
      <c r="E121" s="2"/>
      <c r="F121" s="2"/>
      <c r="G121" s="2"/>
      <c r="H121" s="2" t="str">
        <f>IF(B121="","",D121*Paramètres!$B$2+E121*Paramètres!$B$3+F121+G121*(1+Paramètres!$B$5/100))</f>
        <v/>
      </c>
      <c r="I121" s="2"/>
      <c r="J121" s="2" t="str">
        <f>IF(I121="","",I121-(D121*Paramètres!$B$2+E121*Paramètres!$B$3+F121+G121))</f>
        <v/>
      </c>
      <c r="K121" s="2"/>
    </row>
    <row r="122" spans="1:11" x14ac:dyDescent="0.2">
      <c r="A122" s="2"/>
      <c r="B122" s="2"/>
      <c r="C122" s="2"/>
      <c r="D122" s="2"/>
      <c r="E122" s="2"/>
      <c r="F122" s="2"/>
      <c r="G122" s="2"/>
      <c r="H122" s="2" t="str">
        <f>IF(B122="","",D122*Paramètres!$B$2+E122*Paramètres!$B$3+F122+G122*(1+Paramètres!$B$5/100))</f>
        <v/>
      </c>
      <c r="I122" s="2"/>
      <c r="J122" s="2" t="str">
        <f>IF(I122="","",I122-(D122*Paramètres!$B$2+E122*Paramètres!$B$3+F122+G122))</f>
        <v/>
      </c>
      <c r="K122" s="2"/>
    </row>
    <row r="123" spans="1:11" x14ac:dyDescent="0.2">
      <c r="A123" s="2"/>
      <c r="B123" s="2"/>
      <c r="C123" s="2"/>
      <c r="D123" s="2"/>
      <c r="E123" s="2"/>
      <c r="F123" s="2"/>
      <c r="G123" s="2"/>
      <c r="H123" s="2" t="str">
        <f>IF(B123="","",D123*Paramètres!$B$2+E123*Paramètres!$B$3+F123+G123*(1+Paramètres!$B$5/100))</f>
        <v/>
      </c>
      <c r="I123" s="2"/>
      <c r="J123" s="2" t="str">
        <f>IF(I123="","",I123-(D123*Paramètres!$B$2+E123*Paramètres!$B$3+F123+G123))</f>
        <v/>
      </c>
      <c r="K123" s="2"/>
    </row>
    <row r="124" spans="1:11" x14ac:dyDescent="0.2">
      <c r="A124" s="2"/>
      <c r="B124" s="2"/>
      <c r="C124" s="2"/>
      <c r="D124" s="2"/>
      <c r="E124" s="2"/>
      <c r="F124" s="2"/>
      <c r="G124" s="2"/>
      <c r="H124" s="2" t="str">
        <f>IF(B124="","",D124*Paramètres!$B$2+E124*Paramètres!$B$3+F124+G124*(1+Paramètres!$B$5/100))</f>
        <v/>
      </c>
      <c r="I124" s="2"/>
      <c r="J124" s="2" t="str">
        <f>IF(I124="","",I124-(D124*Paramètres!$B$2+E124*Paramètres!$B$3+F124+G124))</f>
        <v/>
      </c>
      <c r="K124" s="2"/>
    </row>
    <row r="125" spans="1:11" x14ac:dyDescent="0.2">
      <c r="A125" s="2"/>
      <c r="B125" s="2"/>
      <c r="C125" s="2"/>
      <c r="D125" s="2"/>
      <c r="E125" s="2"/>
      <c r="F125" s="2"/>
      <c r="G125" s="2"/>
      <c r="H125" s="2" t="str">
        <f>IF(B125="","",D125*Paramètres!$B$2+E125*Paramètres!$B$3+F125+G125*(1+Paramètres!$B$5/100))</f>
        <v/>
      </c>
      <c r="I125" s="2"/>
      <c r="J125" s="2" t="str">
        <f>IF(I125="","",I125-(D125*Paramètres!$B$2+E125*Paramètres!$B$3+F125+G125))</f>
        <v/>
      </c>
      <c r="K125" s="2"/>
    </row>
    <row r="126" spans="1:11" x14ac:dyDescent="0.2">
      <c r="A126" s="2"/>
      <c r="B126" s="2"/>
      <c r="C126" s="2"/>
      <c r="D126" s="2"/>
      <c r="E126" s="2"/>
      <c r="F126" s="2"/>
      <c r="G126" s="2"/>
      <c r="H126" s="2" t="str">
        <f>IF(B126="","",D126*Paramètres!$B$2+E126*Paramètres!$B$3+F126+G126*(1+Paramètres!$B$5/100))</f>
        <v/>
      </c>
      <c r="I126" s="2"/>
      <c r="J126" s="2" t="str">
        <f>IF(I126="","",I126-(D126*Paramètres!$B$2+E126*Paramètres!$B$3+F126+G126))</f>
        <v/>
      </c>
      <c r="K126" s="2"/>
    </row>
    <row r="127" spans="1:11" x14ac:dyDescent="0.2">
      <c r="A127" s="2"/>
      <c r="B127" s="2"/>
      <c r="C127" s="2"/>
      <c r="D127" s="2"/>
      <c r="E127" s="2"/>
      <c r="F127" s="2"/>
      <c r="G127" s="2"/>
      <c r="H127" s="2" t="str">
        <f>IF(B127="","",D127*Paramètres!$B$2+E127*Paramètres!$B$3+F127+G127*(1+Paramètres!$B$5/100))</f>
        <v/>
      </c>
      <c r="I127" s="2"/>
      <c r="J127" s="2" t="str">
        <f>IF(I127="","",I127-(D127*Paramètres!$B$2+E127*Paramètres!$B$3+F127+G127))</f>
        <v/>
      </c>
      <c r="K127" s="2"/>
    </row>
    <row r="128" spans="1:11" x14ac:dyDescent="0.2">
      <c r="A128" s="2"/>
      <c r="B128" s="2"/>
      <c r="C128" s="2"/>
      <c r="D128" s="2"/>
      <c r="E128" s="2"/>
      <c r="F128" s="2"/>
      <c r="G128" s="2"/>
      <c r="H128" s="2" t="str">
        <f>IF(B128="","",D128*Paramètres!$B$2+E128*Paramètres!$B$3+F128+G128*(1+Paramètres!$B$5/100))</f>
        <v/>
      </c>
      <c r="I128" s="2"/>
      <c r="J128" s="2" t="str">
        <f>IF(I128="","",I128-(D128*Paramètres!$B$2+E128*Paramètres!$B$3+F128+G128))</f>
        <v/>
      </c>
      <c r="K128" s="2"/>
    </row>
    <row r="129" spans="1:11" x14ac:dyDescent="0.2">
      <c r="A129" s="2"/>
      <c r="B129" s="2"/>
      <c r="C129" s="2"/>
      <c r="D129" s="2"/>
      <c r="E129" s="2"/>
      <c r="F129" s="2"/>
      <c r="G129" s="2"/>
      <c r="H129" s="2" t="str">
        <f>IF(B129="","",D129*Paramètres!$B$2+E129*Paramètres!$B$3+F129+G129*(1+Paramètres!$B$5/100))</f>
        <v/>
      </c>
      <c r="I129" s="2"/>
      <c r="J129" s="2" t="str">
        <f>IF(I129="","",I129-(D129*Paramètres!$B$2+E129*Paramètres!$B$3+F129+G129))</f>
        <v/>
      </c>
      <c r="K129" s="2"/>
    </row>
    <row r="130" spans="1:11" x14ac:dyDescent="0.2">
      <c r="A130" s="2"/>
      <c r="B130" s="2"/>
      <c r="C130" s="2"/>
      <c r="D130" s="2"/>
      <c r="E130" s="2"/>
      <c r="F130" s="2"/>
      <c r="G130" s="2"/>
      <c r="H130" s="2" t="str">
        <f>IF(B130="","",D130*Paramètres!$B$2+E130*Paramètres!$B$3+F130+G130*(1+Paramètres!$B$5/100))</f>
        <v/>
      </c>
      <c r="I130" s="2"/>
      <c r="J130" s="2" t="str">
        <f>IF(I130="","",I130-(D130*Paramètres!$B$2+E130*Paramètres!$B$3+F130+G130))</f>
        <v/>
      </c>
      <c r="K130" s="2"/>
    </row>
    <row r="131" spans="1:11" x14ac:dyDescent="0.2">
      <c r="A131" s="2"/>
      <c r="B131" s="2"/>
      <c r="C131" s="2"/>
      <c r="D131" s="2"/>
      <c r="E131" s="2"/>
      <c r="F131" s="2"/>
      <c r="G131" s="2"/>
      <c r="H131" s="2" t="str">
        <f>IF(B131="","",D131*Paramètres!$B$2+E131*Paramètres!$B$3+F131+G131*(1+Paramètres!$B$5/100))</f>
        <v/>
      </c>
      <c r="I131" s="2"/>
      <c r="J131" s="2" t="str">
        <f>IF(I131="","",I131-(D131*Paramètres!$B$2+E131*Paramètres!$B$3+F131+G131))</f>
        <v/>
      </c>
      <c r="K131" s="2"/>
    </row>
    <row r="132" spans="1:11" x14ac:dyDescent="0.2">
      <c r="A132" s="2"/>
      <c r="B132" s="2"/>
      <c r="C132" s="2"/>
      <c r="D132" s="2"/>
      <c r="E132" s="2"/>
      <c r="F132" s="2"/>
      <c r="G132" s="2"/>
      <c r="H132" s="2" t="str">
        <f>IF(B132="","",D132*Paramètres!$B$2+E132*Paramètres!$B$3+F132+G132*(1+Paramètres!$B$5/100))</f>
        <v/>
      </c>
      <c r="I132" s="2"/>
      <c r="J132" s="2" t="str">
        <f>IF(I132="","",I132-(D132*Paramètres!$B$2+E132*Paramètres!$B$3+F132+G132))</f>
        <v/>
      </c>
      <c r="K132" s="2"/>
    </row>
    <row r="133" spans="1:11" x14ac:dyDescent="0.2">
      <c r="A133" s="2"/>
      <c r="B133" s="2"/>
      <c r="C133" s="2"/>
      <c r="D133" s="2"/>
      <c r="E133" s="2"/>
      <c r="F133" s="2"/>
      <c r="G133" s="2"/>
      <c r="H133" s="2" t="str">
        <f>IF(B133="","",D133*Paramètres!$B$2+E133*Paramètres!$B$3+F133+G133*(1+Paramètres!$B$5/100))</f>
        <v/>
      </c>
      <c r="I133" s="2"/>
      <c r="J133" s="2" t="str">
        <f>IF(I133="","",I133-(D133*Paramètres!$B$2+E133*Paramètres!$B$3+F133+G133))</f>
        <v/>
      </c>
      <c r="K133" s="2"/>
    </row>
    <row r="134" spans="1:11" x14ac:dyDescent="0.2">
      <c r="A134" s="2"/>
      <c r="B134" s="2"/>
      <c r="C134" s="2"/>
      <c r="D134" s="2"/>
      <c r="E134" s="2"/>
      <c r="F134" s="2"/>
      <c r="G134" s="2"/>
      <c r="H134" s="2" t="str">
        <f>IF(B134="","",D134*Paramètres!$B$2+E134*Paramètres!$B$3+F134+G134*(1+Paramètres!$B$5/100))</f>
        <v/>
      </c>
      <c r="I134" s="2"/>
      <c r="J134" s="2" t="str">
        <f>IF(I134="","",I134-(D134*Paramètres!$B$2+E134*Paramètres!$B$3+F134+G134))</f>
        <v/>
      </c>
      <c r="K134" s="2"/>
    </row>
    <row r="135" spans="1:11" x14ac:dyDescent="0.2">
      <c r="A135" s="2"/>
      <c r="B135" s="2"/>
      <c r="C135" s="2"/>
      <c r="D135" s="2"/>
      <c r="E135" s="2"/>
      <c r="F135" s="2"/>
      <c r="G135" s="2"/>
      <c r="H135" s="2" t="str">
        <f>IF(B135="","",D135*Paramètres!$B$2+E135*Paramètres!$B$3+F135+G135*(1+Paramètres!$B$5/100))</f>
        <v/>
      </c>
      <c r="I135" s="2"/>
      <c r="J135" s="2" t="str">
        <f>IF(I135="","",I135-(D135*Paramètres!$B$2+E135*Paramètres!$B$3+F135+G135))</f>
        <v/>
      </c>
      <c r="K135" s="2"/>
    </row>
    <row r="136" spans="1:11" x14ac:dyDescent="0.2">
      <c r="A136" s="2"/>
      <c r="B136" s="2"/>
      <c r="C136" s="2"/>
      <c r="D136" s="2"/>
      <c r="E136" s="2"/>
      <c r="F136" s="2"/>
      <c r="G136" s="2"/>
      <c r="H136" s="2" t="str">
        <f>IF(B136="","",D136*Paramètres!$B$2+E136*Paramètres!$B$3+F136+G136*(1+Paramètres!$B$5/100))</f>
        <v/>
      </c>
      <c r="I136" s="2"/>
      <c r="J136" s="2" t="str">
        <f>IF(I136="","",I136-(D136*Paramètres!$B$2+E136*Paramètres!$B$3+F136+G136))</f>
        <v/>
      </c>
      <c r="K136" s="2"/>
    </row>
    <row r="137" spans="1:11" x14ac:dyDescent="0.2">
      <c r="A137" s="2"/>
      <c r="B137" s="2"/>
      <c r="C137" s="2"/>
      <c r="D137" s="2"/>
      <c r="E137" s="2"/>
      <c r="F137" s="2"/>
      <c r="G137" s="2"/>
      <c r="H137" s="2" t="str">
        <f>IF(B137="","",D137*Paramètres!$B$2+E137*Paramètres!$B$3+F137+G137*(1+Paramètres!$B$5/100))</f>
        <v/>
      </c>
      <c r="I137" s="2"/>
      <c r="J137" s="2" t="str">
        <f>IF(I137="","",I137-(D137*Paramètres!$B$2+E137*Paramètres!$B$3+F137+G137))</f>
        <v/>
      </c>
      <c r="K137" s="2"/>
    </row>
    <row r="138" spans="1:11" x14ac:dyDescent="0.2">
      <c r="A138" s="2"/>
      <c r="B138" s="2"/>
      <c r="C138" s="2"/>
      <c r="D138" s="2"/>
      <c r="E138" s="2"/>
      <c r="F138" s="2"/>
      <c r="G138" s="2"/>
      <c r="H138" s="2" t="str">
        <f>IF(B138="","",D138*Paramètres!$B$2+E138*Paramètres!$B$3+F138+G138*(1+Paramètres!$B$5/100))</f>
        <v/>
      </c>
      <c r="I138" s="2"/>
      <c r="J138" s="2" t="str">
        <f>IF(I138="","",I138-(D138*Paramètres!$B$2+E138*Paramètres!$B$3+F138+G138))</f>
        <v/>
      </c>
      <c r="K138" s="2"/>
    </row>
    <row r="139" spans="1:11" x14ac:dyDescent="0.2">
      <c r="A139" s="2"/>
      <c r="B139" s="2"/>
      <c r="C139" s="2"/>
      <c r="D139" s="2"/>
      <c r="E139" s="2"/>
      <c r="F139" s="2"/>
      <c r="G139" s="2"/>
      <c r="H139" s="2" t="str">
        <f>IF(B139="","",D139*Paramètres!$B$2+E139*Paramètres!$B$3+F139+G139*(1+Paramètres!$B$5/100))</f>
        <v/>
      </c>
      <c r="I139" s="2"/>
      <c r="J139" s="2" t="str">
        <f>IF(I139="","",I139-(D139*Paramètres!$B$2+E139*Paramètres!$B$3+F139+G139))</f>
        <v/>
      </c>
      <c r="K139" s="2"/>
    </row>
    <row r="140" spans="1:11" x14ac:dyDescent="0.2">
      <c r="A140" s="2"/>
      <c r="B140" s="2"/>
      <c r="C140" s="2"/>
      <c r="D140" s="2"/>
      <c r="E140" s="2"/>
      <c r="F140" s="2"/>
      <c r="G140" s="2"/>
      <c r="H140" s="2" t="str">
        <f>IF(B140="","",D140*Paramètres!$B$2+E140*Paramètres!$B$3+F140+G140*(1+Paramètres!$B$5/100))</f>
        <v/>
      </c>
      <c r="I140" s="2"/>
      <c r="J140" s="2" t="str">
        <f>IF(I140="","",I140-(D140*Paramètres!$B$2+E140*Paramètres!$B$3+F140+G140))</f>
        <v/>
      </c>
      <c r="K140" s="2"/>
    </row>
    <row r="141" spans="1:11" x14ac:dyDescent="0.2">
      <c r="A141" s="2"/>
      <c r="B141" s="2"/>
      <c r="C141" s="2"/>
      <c r="D141" s="2"/>
      <c r="E141" s="2"/>
      <c r="F141" s="2"/>
      <c r="G141" s="2"/>
      <c r="H141" s="2" t="str">
        <f>IF(B141="","",D141*Paramètres!$B$2+E141*Paramètres!$B$3+F141+G141*(1+Paramètres!$B$5/100))</f>
        <v/>
      </c>
      <c r="I141" s="2"/>
      <c r="J141" s="2" t="str">
        <f>IF(I141="","",I141-(D141*Paramètres!$B$2+E141*Paramètres!$B$3+F141+G141))</f>
        <v/>
      </c>
      <c r="K141" s="2"/>
    </row>
    <row r="142" spans="1:11" x14ac:dyDescent="0.2">
      <c r="A142" s="2"/>
      <c r="B142" s="2"/>
      <c r="C142" s="2"/>
      <c r="D142" s="2"/>
      <c r="E142" s="2"/>
      <c r="F142" s="2"/>
      <c r="G142" s="2"/>
      <c r="H142" s="2" t="str">
        <f>IF(B142="","",D142*Paramètres!$B$2+E142*Paramètres!$B$3+F142+G142*(1+Paramètres!$B$5/100))</f>
        <v/>
      </c>
      <c r="I142" s="2"/>
      <c r="J142" s="2" t="str">
        <f>IF(I142="","",I142-(D142*Paramètres!$B$2+E142*Paramètres!$B$3+F142+G142))</f>
        <v/>
      </c>
      <c r="K142" s="2"/>
    </row>
    <row r="143" spans="1:11" x14ac:dyDescent="0.2">
      <c r="A143" s="2"/>
      <c r="B143" s="2"/>
      <c r="C143" s="2"/>
      <c r="D143" s="2"/>
      <c r="E143" s="2"/>
      <c r="F143" s="2"/>
      <c r="G143" s="2"/>
      <c r="H143" s="2" t="str">
        <f>IF(B143="","",D143*Paramètres!$B$2+E143*Paramètres!$B$3+F143+G143*(1+Paramètres!$B$5/100))</f>
        <v/>
      </c>
      <c r="I143" s="2"/>
      <c r="J143" s="2" t="str">
        <f>IF(I143="","",I143-(D143*Paramètres!$B$2+E143*Paramètres!$B$3+F143+G143))</f>
        <v/>
      </c>
      <c r="K143" s="2"/>
    </row>
    <row r="144" spans="1:11" x14ac:dyDescent="0.2">
      <c r="A144" s="2"/>
      <c r="B144" s="2"/>
      <c r="C144" s="2"/>
      <c r="D144" s="2"/>
      <c r="E144" s="2"/>
      <c r="F144" s="2"/>
      <c r="G144" s="2"/>
      <c r="H144" s="2" t="str">
        <f>IF(B144="","",D144*Paramètres!$B$2+E144*Paramètres!$B$3+F144+G144*(1+Paramètres!$B$5/100))</f>
        <v/>
      </c>
      <c r="I144" s="2"/>
      <c r="J144" s="2" t="str">
        <f>IF(I144="","",I144-(D144*Paramètres!$B$2+E144*Paramètres!$B$3+F144+G144))</f>
        <v/>
      </c>
      <c r="K144" s="2"/>
    </row>
    <row r="145" spans="1:11" x14ac:dyDescent="0.2">
      <c r="A145" s="2"/>
      <c r="B145" s="2"/>
      <c r="C145" s="2"/>
      <c r="D145" s="2"/>
      <c r="E145" s="2"/>
      <c r="F145" s="2"/>
      <c r="G145" s="2"/>
      <c r="H145" s="2" t="str">
        <f>IF(B145="","",D145*Paramètres!$B$2+E145*Paramètres!$B$3+F145+G145*(1+Paramètres!$B$5/100))</f>
        <v/>
      </c>
      <c r="I145" s="2"/>
      <c r="J145" s="2" t="str">
        <f>IF(I145="","",I145-(D145*Paramètres!$B$2+E145*Paramètres!$B$3+F145+G145))</f>
        <v/>
      </c>
      <c r="K145" s="2"/>
    </row>
    <row r="146" spans="1:11" x14ac:dyDescent="0.2">
      <c r="A146" s="2"/>
      <c r="B146" s="2"/>
      <c r="C146" s="2"/>
      <c r="D146" s="2"/>
      <c r="E146" s="2"/>
      <c r="F146" s="2"/>
      <c r="G146" s="2"/>
      <c r="H146" s="2" t="str">
        <f>IF(B146="","",D146*Paramètres!$B$2+E146*Paramètres!$B$3+F146+G146*(1+Paramètres!$B$5/100))</f>
        <v/>
      </c>
      <c r="I146" s="2"/>
      <c r="J146" s="2" t="str">
        <f>IF(I146="","",I146-(D146*Paramètres!$B$2+E146*Paramètres!$B$3+F146+G146))</f>
        <v/>
      </c>
      <c r="K146" s="2"/>
    </row>
    <row r="147" spans="1:11" x14ac:dyDescent="0.2">
      <c r="A147" s="2"/>
      <c r="B147" s="2"/>
      <c r="C147" s="2"/>
      <c r="D147" s="2"/>
      <c r="E147" s="2"/>
      <c r="F147" s="2"/>
      <c r="G147" s="2"/>
      <c r="H147" s="2" t="str">
        <f>IF(B147="","",D147*Paramètres!$B$2+E147*Paramètres!$B$3+F147+G147*(1+Paramètres!$B$5/100))</f>
        <v/>
      </c>
      <c r="I147" s="2"/>
      <c r="J147" s="2" t="str">
        <f>IF(I147="","",I147-(D147*Paramètres!$B$2+E147*Paramètres!$B$3+F147+G147))</f>
        <v/>
      </c>
      <c r="K147" s="2"/>
    </row>
    <row r="148" spans="1:11" x14ac:dyDescent="0.2">
      <c r="A148" s="2"/>
      <c r="B148" s="2"/>
      <c r="C148" s="2"/>
      <c r="D148" s="2"/>
      <c r="E148" s="2"/>
      <c r="F148" s="2"/>
      <c r="G148" s="2"/>
      <c r="H148" s="2" t="str">
        <f>IF(B148="","",D148*Paramètres!$B$2+E148*Paramètres!$B$3+F148+G148*(1+Paramètres!$B$5/100))</f>
        <v/>
      </c>
      <c r="I148" s="2"/>
      <c r="J148" s="2" t="str">
        <f>IF(I148="","",I148-(D148*Paramètres!$B$2+E148*Paramètres!$B$3+F148+G148))</f>
        <v/>
      </c>
      <c r="K148" s="2"/>
    </row>
    <row r="149" spans="1:11" x14ac:dyDescent="0.2">
      <c r="A149" s="2"/>
      <c r="B149" s="2"/>
      <c r="C149" s="2"/>
      <c r="D149" s="2"/>
      <c r="E149" s="2"/>
      <c r="F149" s="2"/>
      <c r="G149" s="2"/>
      <c r="H149" s="2" t="str">
        <f>IF(B149="","",D149*Paramètres!$B$2+E149*Paramètres!$B$3+F149+G149*(1+Paramètres!$B$5/100))</f>
        <v/>
      </c>
      <c r="I149" s="2"/>
      <c r="J149" s="2" t="str">
        <f>IF(I149="","",I149-(D149*Paramètres!$B$2+E149*Paramètres!$B$3+F149+G149))</f>
        <v/>
      </c>
      <c r="K149" s="2"/>
    </row>
    <row r="150" spans="1:11" x14ac:dyDescent="0.2">
      <c r="A150" s="2"/>
      <c r="B150" s="2"/>
      <c r="C150" s="2"/>
      <c r="D150" s="2"/>
      <c r="E150" s="2"/>
      <c r="F150" s="2"/>
      <c r="G150" s="2"/>
      <c r="H150" s="2" t="str">
        <f>IF(B150="","",D150*Paramètres!$B$2+E150*Paramètres!$B$3+F150+G150*(1+Paramètres!$B$5/100))</f>
        <v/>
      </c>
      <c r="I150" s="2"/>
      <c r="J150" s="2" t="str">
        <f>IF(I150="","",I150-(D150*Paramètres!$B$2+E150*Paramètres!$B$3+F150+G150))</f>
        <v/>
      </c>
      <c r="K150" s="2"/>
    </row>
    <row r="151" spans="1:11" x14ac:dyDescent="0.2">
      <c r="A151" s="2"/>
      <c r="B151" s="2"/>
      <c r="C151" s="2"/>
      <c r="D151" s="2"/>
      <c r="E151" s="2"/>
      <c r="F151" s="2"/>
      <c r="G151" s="2"/>
      <c r="H151" s="2" t="str">
        <f>IF(B151="","",D151*Paramètres!$B$2+E151*Paramètres!$B$3+F151+G151*(1+Paramètres!$B$5/100))</f>
        <v/>
      </c>
      <c r="I151" s="2"/>
      <c r="J151" s="2" t="str">
        <f>IF(I151="","",I151-(D151*Paramètres!$B$2+E151*Paramètres!$B$3+F151+G151))</f>
        <v/>
      </c>
      <c r="K151" s="2"/>
    </row>
    <row r="152" spans="1:11" x14ac:dyDescent="0.2">
      <c r="A152" s="2"/>
      <c r="B152" s="2"/>
      <c r="C152" s="2"/>
      <c r="D152" s="2"/>
      <c r="E152" s="2"/>
      <c r="F152" s="2"/>
      <c r="G152" s="2"/>
      <c r="H152" s="2" t="str">
        <f>IF(B152="","",D152*Paramètres!$B$2+E152*Paramètres!$B$3+F152+G152*(1+Paramètres!$B$5/100))</f>
        <v/>
      </c>
      <c r="I152" s="2"/>
      <c r="J152" s="2" t="str">
        <f>IF(I152="","",I152-(D152*Paramètres!$B$2+E152*Paramètres!$B$3+F152+G152))</f>
        <v/>
      </c>
      <c r="K152" s="2"/>
    </row>
    <row r="153" spans="1:11" x14ac:dyDescent="0.2">
      <c r="A153" s="2"/>
      <c r="B153" s="2"/>
      <c r="C153" s="2"/>
      <c r="D153" s="2"/>
      <c r="E153" s="2"/>
      <c r="F153" s="2"/>
      <c r="G153" s="2"/>
      <c r="H153" s="2" t="str">
        <f>IF(B153="","",D153*Paramètres!$B$2+E153*Paramètres!$B$3+F153+G153*(1+Paramètres!$B$5/100))</f>
        <v/>
      </c>
      <c r="I153" s="2"/>
      <c r="J153" s="2" t="str">
        <f>IF(I153="","",I153-(D153*Paramètres!$B$2+E153*Paramètres!$B$3+F153+G153))</f>
        <v/>
      </c>
      <c r="K153" s="2"/>
    </row>
    <row r="154" spans="1:11" x14ac:dyDescent="0.2">
      <c r="A154" s="2"/>
      <c r="B154" s="2"/>
      <c r="C154" s="2"/>
      <c r="D154" s="2"/>
      <c r="E154" s="2"/>
      <c r="F154" s="2"/>
      <c r="G154" s="2"/>
      <c r="H154" s="2" t="str">
        <f>IF(B154="","",D154*Paramètres!$B$2+E154*Paramètres!$B$3+F154+G154*(1+Paramètres!$B$5/100))</f>
        <v/>
      </c>
      <c r="I154" s="2"/>
      <c r="J154" s="2" t="str">
        <f>IF(I154="","",I154-(D154*Paramètres!$B$2+E154*Paramètres!$B$3+F154+G154))</f>
        <v/>
      </c>
      <c r="K154" s="2"/>
    </row>
    <row r="155" spans="1:11" x14ac:dyDescent="0.2">
      <c r="A155" s="2"/>
      <c r="B155" s="2"/>
      <c r="C155" s="2"/>
      <c r="D155" s="2"/>
      <c r="E155" s="2"/>
      <c r="F155" s="2"/>
      <c r="G155" s="2"/>
      <c r="H155" s="2" t="str">
        <f>IF(B155="","",D155*Paramètres!$B$2+E155*Paramètres!$B$3+F155+G155*(1+Paramètres!$B$5/100))</f>
        <v/>
      </c>
      <c r="I155" s="2"/>
      <c r="J155" s="2" t="str">
        <f>IF(I155="","",I155-(D155*Paramètres!$B$2+E155*Paramètres!$B$3+F155+G155))</f>
        <v/>
      </c>
      <c r="K155" s="2"/>
    </row>
    <row r="156" spans="1:11" x14ac:dyDescent="0.2">
      <c r="A156" s="2"/>
      <c r="B156" s="2"/>
      <c r="C156" s="2"/>
      <c r="D156" s="2"/>
      <c r="E156" s="2"/>
      <c r="F156" s="2"/>
      <c r="G156" s="2"/>
      <c r="H156" s="2" t="str">
        <f>IF(B156="","",D156*Paramètres!$B$2+E156*Paramètres!$B$3+F156+G156*(1+Paramètres!$B$5/100))</f>
        <v/>
      </c>
      <c r="I156" s="2"/>
      <c r="J156" s="2" t="str">
        <f>IF(I156="","",I156-(D156*Paramètres!$B$2+E156*Paramètres!$B$3+F156+G156))</f>
        <v/>
      </c>
      <c r="K156" s="2"/>
    </row>
    <row r="157" spans="1:11" x14ac:dyDescent="0.2">
      <c r="A157" s="2"/>
      <c r="B157" s="2"/>
      <c r="C157" s="2"/>
      <c r="D157" s="2"/>
      <c r="E157" s="2"/>
      <c r="F157" s="2"/>
      <c r="G157" s="2"/>
      <c r="H157" s="2" t="str">
        <f>IF(B157="","",D157*Paramètres!$B$2+E157*Paramètres!$B$3+F157+G157*(1+Paramètres!$B$5/100))</f>
        <v/>
      </c>
      <c r="I157" s="2"/>
      <c r="J157" s="2" t="str">
        <f>IF(I157="","",I157-(D157*Paramètres!$B$2+E157*Paramètres!$B$3+F157+G157))</f>
        <v/>
      </c>
      <c r="K157" s="2"/>
    </row>
    <row r="158" spans="1:11" x14ac:dyDescent="0.2">
      <c r="A158" s="2"/>
      <c r="B158" s="2"/>
      <c r="C158" s="2"/>
      <c r="D158" s="2"/>
      <c r="E158" s="2"/>
      <c r="F158" s="2"/>
      <c r="G158" s="2"/>
      <c r="H158" s="2" t="str">
        <f>IF(B158="","",D158*Paramètres!$B$2+E158*Paramètres!$B$3+F158+G158*(1+Paramètres!$B$5/100))</f>
        <v/>
      </c>
      <c r="I158" s="2"/>
      <c r="J158" s="2" t="str">
        <f>IF(I158="","",I158-(D158*Paramètres!$B$2+E158*Paramètres!$B$3+F158+G158))</f>
        <v/>
      </c>
      <c r="K158" s="2"/>
    </row>
    <row r="159" spans="1:11" x14ac:dyDescent="0.2">
      <c r="A159" s="2"/>
      <c r="B159" s="2"/>
      <c r="C159" s="2"/>
      <c r="D159" s="2"/>
      <c r="E159" s="2"/>
      <c r="F159" s="2"/>
      <c r="G159" s="2"/>
      <c r="H159" s="2" t="str">
        <f>IF(B159="","",D159*Paramètres!$B$2+E159*Paramètres!$B$3+F159+G159*(1+Paramètres!$B$5/100))</f>
        <v/>
      </c>
      <c r="I159" s="2"/>
      <c r="J159" s="2" t="str">
        <f>IF(I159="","",I159-(D159*Paramètres!$B$2+E159*Paramètres!$B$3+F159+G159))</f>
        <v/>
      </c>
      <c r="K159" s="2"/>
    </row>
    <row r="160" spans="1:11" x14ac:dyDescent="0.2">
      <c r="A160" s="2"/>
      <c r="B160" s="2"/>
      <c r="C160" s="2"/>
      <c r="D160" s="2"/>
      <c r="E160" s="2"/>
      <c r="F160" s="2"/>
      <c r="G160" s="2"/>
      <c r="H160" s="2" t="str">
        <f>IF(B160="","",D160*Paramètres!$B$2+E160*Paramètres!$B$3+F160+G160*(1+Paramètres!$B$5/100))</f>
        <v/>
      </c>
      <c r="I160" s="2"/>
      <c r="J160" s="2" t="str">
        <f>IF(I160="","",I160-(D160*Paramètres!$B$2+E160*Paramètres!$B$3+F160+G160))</f>
        <v/>
      </c>
      <c r="K160" s="2"/>
    </row>
    <row r="161" spans="1:11" x14ac:dyDescent="0.2">
      <c r="A161" s="2"/>
      <c r="B161" s="2"/>
      <c r="C161" s="2"/>
      <c r="D161" s="2"/>
      <c r="E161" s="2"/>
      <c r="F161" s="2"/>
      <c r="G161" s="2"/>
      <c r="H161" s="2" t="str">
        <f>IF(B161="","",D161*Paramètres!$B$2+E161*Paramètres!$B$3+F161+G161*(1+Paramètres!$B$5/100))</f>
        <v/>
      </c>
      <c r="I161" s="2"/>
      <c r="J161" s="2" t="str">
        <f>IF(I161="","",I161-(D161*Paramètres!$B$2+E161*Paramètres!$B$3+F161+G161))</f>
        <v/>
      </c>
      <c r="K161" s="2"/>
    </row>
    <row r="162" spans="1:11" x14ac:dyDescent="0.2">
      <c r="A162" s="2"/>
      <c r="B162" s="2"/>
      <c r="C162" s="2"/>
      <c r="D162" s="2"/>
      <c r="E162" s="2"/>
      <c r="F162" s="2"/>
      <c r="G162" s="2"/>
      <c r="H162" s="2" t="str">
        <f>IF(B162="","",D162*Paramètres!$B$2+E162*Paramètres!$B$3+F162+G162*(1+Paramètres!$B$5/100))</f>
        <v/>
      </c>
      <c r="I162" s="2"/>
      <c r="J162" s="2" t="str">
        <f>IF(I162="","",I162-(D162*Paramètres!$B$2+E162*Paramètres!$B$3+F162+G162))</f>
        <v/>
      </c>
      <c r="K162" s="2"/>
    </row>
    <row r="163" spans="1:11" x14ac:dyDescent="0.2">
      <c r="A163" s="2"/>
      <c r="B163" s="2"/>
      <c r="C163" s="2"/>
      <c r="D163" s="2"/>
      <c r="E163" s="2"/>
      <c r="F163" s="2"/>
      <c r="G163" s="2"/>
      <c r="H163" s="2" t="str">
        <f>IF(B163="","",D163*Paramètres!$B$2+E163*Paramètres!$B$3+F163+G163*(1+Paramètres!$B$5/100))</f>
        <v/>
      </c>
      <c r="I163" s="2"/>
      <c r="J163" s="2" t="str">
        <f>IF(I163="","",I163-(D163*Paramètres!$B$2+E163*Paramètres!$B$3+F163+G163))</f>
        <v/>
      </c>
      <c r="K163" s="2"/>
    </row>
    <row r="164" spans="1:11" x14ac:dyDescent="0.2">
      <c r="A164" s="2"/>
      <c r="B164" s="2"/>
      <c r="C164" s="2"/>
      <c r="D164" s="2"/>
      <c r="E164" s="2"/>
      <c r="F164" s="2"/>
      <c r="G164" s="2"/>
      <c r="H164" s="2" t="str">
        <f>IF(B164="","",D164*Paramètres!$B$2+E164*Paramètres!$B$3+F164+G164*(1+Paramètres!$B$5/100))</f>
        <v/>
      </c>
      <c r="I164" s="2"/>
      <c r="J164" s="2" t="str">
        <f>IF(I164="","",I164-(D164*Paramètres!$B$2+E164*Paramètres!$B$3+F164+G164))</f>
        <v/>
      </c>
      <c r="K164" s="2"/>
    </row>
    <row r="165" spans="1:11" x14ac:dyDescent="0.2">
      <c r="A165" s="2"/>
      <c r="B165" s="2"/>
      <c r="C165" s="2"/>
      <c r="D165" s="2"/>
      <c r="E165" s="2"/>
      <c r="F165" s="2"/>
      <c r="G165" s="2"/>
      <c r="H165" s="2" t="str">
        <f>IF(B165="","",D165*Paramètres!$B$2+E165*Paramètres!$B$3+F165+G165*(1+Paramètres!$B$5/100))</f>
        <v/>
      </c>
      <c r="I165" s="2"/>
      <c r="J165" s="2" t="str">
        <f>IF(I165="","",I165-(D165*Paramètres!$B$2+E165*Paramètres!$B$3+F165+G165))</f>
        <v/>
      </c>
      <c r="K165" s="2"/>
    </row>
    <row r="166" spans="1:11" x14ac:dyDescent="0.2">
      <c r="A166" s="2"/>
      <c r="B166" s="2"/>
      <c r="C166" s="2"/>
      <c r="D166" s="2"/>
      <c r="E166" s="2"/>
      <c r="F166" s="2"/>
      <c r="G166" s="2"/>
      <c r="H166" s="2" t="str">
        <f>IF(B166="","",D166*Paramètres!$B$2+E166*Paramètres!$B$3+F166+G166*(1+Paramètres!$B$5/100))</f>
        <v/>
      </c>
      <c r="I166" s="2"/>
      <c r="J166" s="2" t="str">
        <f>IF(I166="","",I166-(D166*Paramètres!$B$2+E166*Paramètres!$B$3+F166+G166))</f>
        <v/>
      </c>
      <c r="K166" s="2"/>
    </row>
    <row r="167" spans="1:11" x14ac:dyDescent="0.2">
      <c r="A167" s="2"/>
      <c r="B167" s="2"/>
      <c r="C167" s="2"/>
      <c r="D167" s="2"/>
      <c r="E167" s="2"/>
      <c r="F167" s="2"/>
      <c r="G167" s="2"/>
      <c r="H167" s="2" t="str">
        <f>IF(B167="","",D167*Paramètres!$B$2+E167*Paramètres!$B$3+F167+G167*(1+Paramètres!$B$5/100))</f>
        <v/>
      </c>
      <c r="I167" s="2"/>
      <c r="J167" s="2" t="str">
        <f>IF(I167="","",I167-(D167*Paramètres!$B$2+E167*Paramètres!$B$3+F167+G167))</f>
        <v/>
      </c>
      <c r="K167" s="2"/>
    </row>
    <row r="168" spans="1:11" x14ac:dyDescent="0.2">
      <c r="A168" s="2"/>
      <c r="B168" s="2"/>
      <c r="C168" s="2"/>
      <c r="D168" s="2"/>
      <c r="E168" s="2"/>
      <c r="F168" s="2"/>
      <c r="G168" s="2"/>
      <c r="H168" s="2" t="str">
        <f>IF(B168="","",D168*Paramètres!$B$2+E168*Paramètres!$B$3+F168+G168*(1+Paramètres!$B$5/100))</f>
        <v/>
      </c>
      <c r="I168" s="2"/>
      <c r="J168" s="2" t="str">
        <f>IF(I168="","",I168-(D168*Paramètres!$B$2+E168*Paramètres!$B$3+F168+G168))</f>
        <v/>
      </c>
      <c r="K168" s="2"/>
    </row>
    <row r="169" spans="1:11" x14ac:dyDescent="0.2">
      <c r="A169" s="2"/>
      <c r="B169" s="2"/>
      <c r="C169" s="2"/>
      <c r="D169" s="2"/>
      <c r="E169" s="2"/>
      <c r="F169" s="2"/>
      <c r="G169" s="2"/>
      <c r="H169" s="2" t="str">
        <f>IF(B169="","",D169*Paramètres!$B$2+E169*Paramètres!$B$3+F169+G169*(1+Paramètres!$B$5/100))</f>
        <v/>
      </c>
      <c r="I169" s="2"/>
      <c r="J169" s="2" t="str">
        <f>IF(I169="","",I169-(D169*Paramètres!$B$2+E169*Paramètres!$B$3+F169+G169))</f>
        <v/>
      </c>
      <c r="K169" s="2"/>
    </row>
    <row r="170" spans="1:11" x14ac:dyDescent="0.2">
      <c r="A170" s="2"/>
      <c r="B170" s="2"/>
      <c r="C170" s="2"/>
      <c r="D170" s="2"/>
      <c r="E170" s="2"/>
      <c r="F170" s="2"/>
      <c r="G170" s="2"/>
      <c r="H170" s="2" t="str">
        <f>IF(B170="","",D170*Paramètres!$B$2+E170*Paramètres!$B$3+F170+G170*(1+Paramètres!$B$5/100))</f>
        <v/>
      </c>
      <c r="I170" s="2"/>
      <c r="J170" s="2" t="str">
        <f>IF(I170="","",I170-(D170*Paramètres!$B$2+E170*Paramètres!$B$3+F170+G170))</f>
        <v/>
      </c>
      <c r="K170" s="2"/>
    </row>
    <row r="171" spans="1:11" x14ac:dyDescent="0.2">
      <c r="A171" s="2"/>
      <c r="B171" s="2"/>
      <c r="C171" s="2"/>
      <c r="D171" s="2"/>
      <c r="E171" s="2"/>
      <c r="F171" s="2"/>
      <c r="G171" s="2"/>
      <c r="H171" s="2" t="str">
        <f>IF(B171="","",D171*Paramètres!$B$2+E171*Paramètres!$B$3+F171+G171*(1+Paramètres!$B$5/100))</f>
        <v/>
      </c>
      <c r="I171" s="2"/>
      <c r="J171" s="2" t="str">
        <f>IF(I171="","",I171-(D171*Paramètres!$B$2+E171*Paramètres!$B$3+F171+G171))</f>
        <v/>
      </c>
      <c r="K171" s="2"/>
    </row>
    <row r="172" spans="1:11" x14ac:dyDescent="0.2">
      <c r="A172" s="2"/>
      <c r="B172" s="2"/>
      <c r="C172" s="2"/>
      <c r="D172" s="2"/>
      <c r="E172" s="2"/>
      <c r="F172" s="2"/>
      <c r="G172" s="2"/>
      <c r="H172" s="2" t="str">
        <f>IF(B172="","",D172*Paramètres!$B$2+E172*Paramètres!$B$3+F172+G172*(1+Paramètres!$B$5/100))</f>
        <v/>
      </c>
      <c r="I172" s="2"/>
      <c r="J172" s="2" t="str">
        <f>IF(I172="","",I172-(D172*Paramètres!$B$2+E172*Paramètres!$B$3+F172+G172))</f>
        <v/>
      </c>
      <c r="K172" s="2"/>
    </row>
    <row r="173" spans="1:11" x14ac:dyDescent="0.2">
      <c r="A173" s="2"/>
      <c r="B173" s="2"/>
      <c r="C173" s="2"/>
      <c r="D173" s="2"/>
      <c r="E173" s="2"/>
      <c r="F173" s="2"/>
      <c r="G173" s="2"/>
      <c r="H173" s="2" t="str">
        <f>IF(B173="","",D173*Paramètres!$B$2+E173*Paramètres!$B$3+F173+G173*(1+Paramètres!$B$5/100))</f>
        <v/>
      </c>
      <c r="I173" s="2"/>
      <c r="J173" s="2" t="str">
        <f>IF(I173="","",I173-(D173*Paramètres!$B$2+E173*Paramètres!$B$3+F173+G173))</f>
        <v/>
      </c>
      <c r="K173" s="2"/>
    </row>
    <row r="174" spans="1:11" x14ac:dyDescent="0.2">
      <c r="A174" s="2"/>
      <c r="B174" s="2"/>
      <c r="C174" s="2"/>
      <c r="D174" s="2"/>
      <c r="E174" s="2"/>
      <c r="F174" s="2"/>
      <c r="G174" s="2"/>
      <c r="H174" s="2" t="str">
        <f>IF(B174="","",D174*Paramètres!$B$2+E174*Paramètres!$B$3+F174+G174*(1+Paramètres!$B$5/100))</f>
        <v/>
      </c>
      <c r="I174" s="2"/>
      <c r="J174" s="2" t="str">
        <f>IF(I174="","",I174-(D174*Paramètres!$B$2+E174*Paramètres!$B$3+F174+G174))</f>
        <v/>
      </c>
      <c r="K174" s="2"/>
    </row>
    <row r="175" spans="1:11" x14ac:dyDescent="0.2">
      <c r="A175" s="2"/>
      <c r="B175" s="2"/>
      <c r="C175" s="2"/>
      <c r="D175" s="2"/>
      <c r="E175" s="2"/>
      <c r="F175" s="2"/>
      <c r="G175" s="2"/>
      <c r="H175" s="2" t="str">
        <f>IF(B175="","",D175*Paramètres!$B$2+E175*Paramètres!$B$3+F175+G175*(1+Paramètres!$B$5/100))</f>
        <v/>
      </c>
      <c r="I175" s="2"/>
      <c r="J175" s="2" t="str">
        <f>IF(I175="","",I175-(D175*Paramètres!$B$2+E175*Paramètres!$B$3+F175+G175))</f>
        <v/>
      </c>
      <c r="K175" s="2"/>
    </row>
    <row r="176" spans="1:11" x14ac:dyDescent="0.2">
      <c r="A176" s="2"/>
      <c r="B176" s="2"/>
      <c r="C176" s="2"/>
      <c r="D176" s="2"/>
      <c r="E176" s="2"/>
      <c r="F176" s="2"/>
      <c r="G176" s="2"/>
      <c r="H176" s="2" t="str">
        <f>IF(B176="","",D176*Paramètres!$B$2+E176*Paramètres!$B$3+F176+G176*(1+Paramètres!$B$5/100))</f>
        <v/>
      </c>
      <c r="I176" s="2"/>
      <c r="J176" s="2" t="str">
        <f>IF(I176="","",I176-(D176*Paramètres!$B$2+E176*Paramètres!$B$3+F176+G176))</f>
        <v/>
      </c>
      <c r="K176" s="2"/>
    </row>
    <row r="177" spans="1:11" x14ac:dyDescent="0.2">
      <c r="A177" s="2"/>
      <c r="B177" s="2"/>
      <c r="C177" s="2"/>
      <c r="D177" s="2"/>
      <c r="E177" s="2"/>
      <c r="F177" s="2"/>
      <c r="G177" s="2"/>
      <c r="H177" s="2" t="str">
        <f>IF(B177="","",D177*Paramètres!$B$2+E177*Paramètres!$B$3+F177+G177*(1+Paramètres!$B$5/100))</f>
        <v/>
      </c>
      <c r="I177" s="2"/>
      <c r="J177" s="2" t="str">
        <f>IF(I177="","",I177-(D177*Paramètres!$B$2+E177*Paramètres!$B$3+F177+G177))</f>
        <v/>
      </c>
      <c r="K177" s="2"/>
    </row>
    <row r="178" spans="1:11" x14ac:dyDescent="0.2">
      <c r="A178" s="2"/>
      <c r="B178" s="2"/>
      <c r="C178" s="2"/>
      <c r="D178" s="2"/>
      <c r="E178" s="2"/>
      <c r="F178" s="2"/>
      <c r="G178" s="2"/>
      <c r="H178" s="2" t="str">
        <f>IF(B178="","",D178*Paramètres!$B$2+E178*Paramètres!$B$3+F178+G178*(1+Paramètres!$B$5/100))</f>
        <v/>
      </c>
      <c r="I178" s="2"/>
      <c r="J178" s="2" t="str">
        <f>IF(I178="","",I178-(D178*Paramètres!$B$2+E178*Paramètres!$B$3+F178+G178))</f>
        <v/>
      </c>
      <c r="K178" s="2"/>
    </row>
    <row r="179" spans="1:11" x14ac:dyDescent="0.2">
      <c r="A179" s="2"/>
      <c r="B179" s="2"/>
      <c r="C179" s="2"/>
      <c r="D179" s="2"/>
      <c r="E179" s="2"/>
      <c r="F179" s="2"/>
      <c r="G179" s="2"/>
      <c r="H179" s="2" t="str">
        <f>IF(B179="","",D179*Paramètres!$B$2+E179*Paramètres!$B$3+F179+G179*(1+Paramètres!$B$5/100))</f>
        <v/>
      </c>
      <c r="I179" s="2"/>
      <c r="J179" s="2" t="str">
        <f>IF(I179="","",I179-(D179*Paramètres!$B$2+E179*Paramètres!$B$3+F179+G179))</f>
        <v/>
      </c>
      <c r="K179" s="2"/>
    </row>
    <row r="180" spans="1:11" x14ac:dyDescent="0.2">
      <c r="A180" s="2"/>
      <c r="B180" s="2"/>
      <c r="C180" s="2"/>
      <c r="D180" s="2"/>
      <c r="E180" s="2"/>
      <c r="F180" s="2"/>
      <c r="G180" s="2"/>
      <c r="H180" s="2" t="str">
        <f>IF(B180="","",D180*Paramètres!$B$2+E180*Paramètres!$B$3+F180+G180*(1+Paramètres!$B$5/100))</f>
        <v/>
      </c>
      <c r="I180" s="2"/>
      <c r="J180" s="2" t="str">
        <f>IF(I180="","",I180-(D180*Paramètres!$B$2+E180*Paramètres!$B$3+F180+G180))</f>
        <v/>
      </c>
      <c r="K180" s="2"/>
    </row>
    <row r="181" spans="1:11" x14ac:dyDescent="0.2">
      <c r="A181" s="2"/>
      <c r="B181" s="2"/>
      <c r="C181" s="2"/>
      <c r="D181" s="2"/>
      <c r="E181" s="2"/>
      <c r="F181" s="2"/>
      <c r="G181" s="2"/>
      <c r="H181" s="2" t="str">
        <f>IF(B181="","",D181*Paramètres!$B$2+E181*Paramètres!$B$3+F181+G181*(1+Paramètres!$B$5/100))</f>
        <v/>
      </c>
      <c r="I181" s="2"/>
      <c r="J181" s="2" t="str">
        <f>IF(I181="","",I181-(D181*Paramètres!$B$2+E181*Paramètres!$B$3+F181+G181))</f>
        <v/>
      </c>
      <c r="K181" s="2"/>
    </row>
    <row r="182" spans="1:11" x14ac:dyDescent="0.2">
      <c r="A182" s="2"/>
      <c r="B182" s="2"/>
      <c r="C182" s="2"/>
      <c r="D182" s="2"/>
      <c r="E182" s="2"/>
      <c r="F182" s="2"/>
      <c r="G182" s="2"/>
      <c r="H182" s="2" t="str">
        <f>IF(B182="","",D182*Paramètres!$B$2+E182*Paramètres!$B$3+F182+G182*(1+Paramètres!$B$5/100))</f>
        <v/>
      </c>
      <c r="I182" s="2"/>
      <c r="J182" s="2" t="str">
        <f>IF(I182="","",I182-(D182*Paramètres!$B$2+E182*Paramètres!$B$3+F182+G182))</f>
        <v/>
      </c>
      <c r="K182" s="2"/>
    </row>
    <row r="183" spans="1:11" x14ac:dyDescent="0.2">
      <c r="A183" s="2"/>
      <c r="B183" s="2"/>
      <c r="C183" s="2"/>
      <c r="D183" s="2"/>
      <c r="E183" s="2"/>
      <c r="F183" s="2"/>
      <c r="G183" s="2"/>
      <c r="H183" s="2" t="str">
        <f>IF(B183="","",D183*Paramètres!$B$2+E183*Paramètres!$B$3+F183+G183*(1+Paramètres!$B$5/100))</f>
        <v/>
      </c>
      <c r="I183" s="2"/>
      <c r="J183" s="2" t="str">
        <f>IF(I183="","",I183-(D183*Paramètres!$B$2+E183*Paramètres!$B$3+F183+G183))</f>
        <v/>
      </c>
      <c r="K183" s="2"/>
    </row>
    <row r="184" spans="1:11" x14ac:dyDescent="0.2">
      <c r="A184" s="2"/>
      <c r="B184" s="2"/>
      <c r="C184" s="2"/>
      <c r="D184" s="2"/>
      <c r="E184" s="2"/>
      <c r="F184" s="2"/>
      <c r="G184" s="2"/>
      <c r="H184" s="2" t="str">
        <f>IF(B184="","",D184*Paramètres!$B$2+E184*Paramètres!$B$3+F184+G184*(1+Paramètres!$B$5/100))</f>
        <v/>
      </c>
      <c r="I184" s="2"/>
      <c r="J184" s="2" t="str">
        <f>IF(I184="","",I184-(D184*Paramètres!$B$2+E184*Paramètres!$B$3+F184+G184))</f>
        <v/>
      </c>
      <c r="K184" s="2"/>
    </row>
    <row r="185" spans="1:11" x14ac:dyDescent="0.2">
      <c r="A185" s="2"/>
      <c r="B185" s="2"/>
      <c r="C185" s="2"/>
      <c r="D185" s="2"/>
      <c r="E185" s="2"/>
      <c r="F185" s="2"/>
      <c r="G185" s="2"/>
      <c r="H185" s="2" t="str">
        <f>IF(B185="","",D185*Paramètres!$B$2+E185*Paramètres!$B$3+F185+G185*(1+Paramètres!$B$5/100))</f>
        <v/>
      </c>
      <c r="I185" s="2"/>
      <c r="J185" s="2" t="str">
        <f>IF(I185="","",I185-(D185*Paramètres!$B$2+E185*Paramètres!$B$3+F185+G185))</f>
        <v/>
      </c>
      <c r="K185" s="2"/>
    </row>
    <row r="186" spans="1:11" x14ac:dyDescent="0.2">
      <c r="A186" s="2"/>
      <c r="B186" s="2"/>
      <c r="C186" s="2"/>
      <c r="D186" s="2"/>
      <c r="E186" s="2"/>
      <c r="F186" s="2"/>
      <c r="G186" s="2"/>
      <c r="H186" s="2" t="str">
        <f>IF(B186="","",D186*Paramètres!$B$2+E186*Paramètres!$B$3+F186+G186*(1+Paramètres!$B$5/100))</f>
        <v/>
      </c>
      <c r="I186" s="2"/>
      <c r="J186" s="2" t="str">
        <f>IF(I186="","",I186-(D186*Paramètres!$B$2+E186*Paramètres!$B$3+F186+G186))</f>
        <v/>
      </c>
      <c r="K186" s="2"/>
    </row>
    <row r="187" spans="1:11" x14ac:dyDescent="0.2">
      <c r="A187" s="2"/>
      <c r="B187" s="2"/>
      <c r="C187" s="2"/>
      <c r="D187" s="2"/>
      <c r="E187" s="2"/>
      <c r="F187" s="2"/>
      <c r="G187" s="2"/>
      <c r="H187" s="2" t="str">
        <f>IF(B187="","",D187*Paramètres!$B$2+E187*Paramètres!$B$3+F187+G187*(1+Paramètres!$B$5/100))</f>
        <v/>
      </c>
      <c r="I187" s="2"/>
      <c r="J187" s="2" t="str">
        <f>IF(I187="","",I187-(D187*Paramètres!$B$2+E187*Paramètres!$B$3+F187+G187))</f>
        <v/>
      </c>
      <c r="K187" s="2"/>
    </row>
    <row r="188" spans="1:11" x14ac:dyDescent="0.2">
      <c r="A188" s="2"/>
      <c r="B188" s="2"/>
      <c r="C188" s="2"/>
      <c r="D188" s="2"/>
      <c r="E188" s="2"/>
      <c r="F188" s="2"/>
      <c r="G188" s="2"/>
      <c r="H188" s="2" t="str">
        <f>IF(B188="","",D188*Paramètres!$B$2+E188*Paramètres!$B$3+F188+G188*(1+Paramètres!$B$5/100))</f>
        <v/>
      </c>
      <c r="I188" s="2"/>
      <c r="J188" s="2" t="str">
        <f>IF(I188="","",I188-(D188*Paramètres!$B$2+E188*Paramètres!$B$3+F188+G188))</f>
        <v/>
      </c>
      <c r="K188" s="2"/>
    </row>
    <row r="189" spans="1:11" x14ac:dyDescent="0.2">
      <c r="A189" s="2"/>
      <c r="B189" s="2"/>
      <c r="C189" s="2"/>
      <c r="D189" s="2"/>
      <c r="E189" s="2"/>
      <c r="F189" s="2"/>
      <c r="G189" s="2"/>
      <c r="H189" s="2" t="str">
        <f>IF(B189="","",D189*Paramètres!$B$2+E189*Paramètres!$B$3+F189+G189*(1+Paramètres!$B$5/100))</f>
        <v/>
      </c>
      <c r="I189" s="2"/>
      <c r="J189" s="2" t="str">
        <f>IF(I189="","",I189-(D189*Paramètres!$B$2+E189*Paramètres!$B$3+F189+G189))</f>
        <v/>
      </c>
      <c r="K189" s="2"/>
    </row>
    <row r="190" spans="1:11" x14ac:dyDescent="0.2">
      <c r="A190" s="2"/>
      <c r="B190" s="2"/>
      <c r="C190" s="2"/>
      <c r="D190" s="2"/>
      <c r="E190" s="2"/>
      <c r="F190" s="2"/>
      <c r="G190" s="2"/>
      <c r="H190" s="2" t="str">
        <f>IF(B190="","",D190*Paramètres!$B$2+E190*Paramètres!$B$3+F190+G190*(1+Paramètres!$B$5/100))</f>
        <v/>
      </c>
      <c r="I190" s="2"/>
      <c r="J190" s="2" t="str">
        <f>IF(I190="","",I190-(D190*Paramètres!$B$2+E190*Paramètres!$B$3+F190+G190))</f>
        <v/>
      </c>
      <c r="K190" s="2"/>
    </row>
    <row r="191" spans="1:11" x14ac:dyDescent="0.2">
      <c r="A191" s="2"/>
      <c r="B191" s="2"/>
      <c r="C191" s="2"/>
      <c r="D191" s="2"/>
      <c r="E191" s="2"/>
      <c r="F191" s="2"/>
      <c r="G191" s="2"/>
      <c r="H191" s="2" t="str">
        <f>IF(B191="","",D191*Paramètres!$B$2+E191*Paramètres!$B$3+F191+G191*(1+Paramètres!$B$5/100))</f>
        <v/>
      </c>
      <c r="I191" s="2"/>
      <c r="J191" s="2" t="str">
        <f>IF(I191="","",I191-(D191*Paramètres!$B$2+E191*Paramètres!$B$3+F191+G191))</f>
        <v/>
      </c>
      <c r="K191" s="2"/>
    </row>
    <row r="192" spans="1:11" x14ac:dyDescent="0.2">
      <c r="A192" s="2"/>
      <c r="B192" s="2"/>
      <c r="C192" s="2"/>
      <c r="D192" s="2"/>
      <c r="E192" s="2"/>
      <c r="F192" s="2"/>
      <c r="G192" s="2"/>
      <c r="H192" s="2" t="str">
        <f>IF(B192="","",D192*Paramètres!$B$2+E192*Paramètres!$B$3+F192+G192*(1+Paramètres!$B$5/100))</f>
        <v/>
      </c>
      <c r="I192" s="2"/>
      <c r="J192" s="2" t="str">
        <f>IF(I192="","",I192-(D192*Paramètres!$B$2+E192*Paramètres!$B$3+F192+G192))</f>
        <v/>
      </c>
      <c r="K192" s="2"/>
    </row>
    <row r="193" spans="1:11" x14ac:dyDescent="0.2">
      <c r="A193" s="2"/>
      <c r="B193" s="2"/>
      <c r="C193" s="2"/>
      <c r="D193" s="2"/>
      <c r="E193" s="2"/>
      <c r="F193" s="2"/>
      <c r="G193" s="2"/>
      <c r="H193" s="2" t="str">
        <f>IF(B193="","",D193*Paramètres!$B$2+E193*Paramètres!$B$3+F193+G193*(1+Paramètres!$B$5/100))</f>
        <v/>
      </c>
      <c r="I193" s="2"/>
      <c r="J193" s="2" t="str">
        <f>IF(I193="","",I193-(D193*Paramètres!$B$2+E193*Paramètres!$B$3+F193+G193))</f>
        <v/>
      </c>
      <c r="K193" s="2"/>
    </row>
    <row r="194" spans="1:11" x14ac:dyDescent="0.2">
      <c r="A194" s="2"/>
      <c r="B194" s="2"/>
      <c r="C194" s="2"/>
      <c r="D194" s="2"/>
      <c r="E194" s="2"/>
      <c r="F194" s="2"/>
      <c r="G194" s="2"/>
      <c r="H194" s="2" t="str">
        <f>IF(B194="","",D194*Paramètres!$B$2+E194*Paramètres!$B$3+F194+G194*(1+Paramètres!$B$5/100))</f>
        <v/>
      </c>
      <c r="I194" s="2"/>
      <c r="J194" s="2" t="str">
        <f>IF(I194="","",I194-(D194*Paramètres!$B$2+E194*Paramètres!$B$3+F194+G194))</f>
        <v/>
      </c>
      <c r="K194" s="2"/>
    </row>
    <row r="195" spans="1:11" x14ac:dyDescent="0.2">
      <c r="A195" s="2"/>
      <c r="B195" s="2"/>
      <c r="C195" s="2"/>
      <c r="D195" s="2"/>
      <c r="E195" s="2"/>
      <c r="F195" s="2"/>
      <c r="G195" s="2"/>
      <c r="H195" s="2" t="str">
        <f>IF(B195="","",D195*Paramètres!$B$2+E195*Paramètres!$B$3+F195+G195*(1+Paramètres!$B$5/100))</f>
        <v/>
      </c>
      <c r="I195" s="2"/>
      <c r="J195" s="2" t="str">
        <f>IF(I195="","",I195-(D195*Paramètres!$B$2+E195*Paramètres!$B$3+F195+G195))</f>
        <v/>
      </c>
      <c r="K195" s="2"/>
    </row>
    <row r="196" spans="1:11" x14ac:dyDescent="0.2">
      <c r="A196" s="2"/>
      <c r="B196" s="2"/>
      <c r="C196" s="2"/>
      <c r="D196" s="2"/>
      <c r="E196" s="2"/>
      <c r="F196" s="2"/>
      <c r="G196" s="2"/>
      <c r="H196" s="2" t="str">
        <f>IF(B196="","",D196*Paramètres!$B$2+E196*Paramètres!$B$3+F196+G196*(1+Paramètres!$B$5/100))</f>
        <v/>
      </c>
      <c r="I196" s="2"/>
      <c r="J196" s="2" t="str">
        <f>IF(I196="","",I196-(D196*Paramètres!$B$2+E196*Paramètres!$B$3+F196+G196))</f>
        <v/>
      </c>
      <c r="K196" s="2"/>
    </row>
    <row r="197" spans="1:11" x14ac:dyDescent="0.2">
      <c r="A197" s="2"/>
      <c r="B197" s="2"/>
      <c r="C197" s="2"/>
      <c r="D197" s="2"/>
      <c r="E197" s="2"/>
      <c r="F197" s="2"/>
      <c r="G197" s="2"/>
      <c r="H197" s="2" t="str">
        <f>IF(B197="","",D197*Paramètres!$B$2+E197*Paramètres!$B$3+F197+G197*(1+Paramètres!$B$5/100))</f>
        <v/>
      </c>
      <c r="I197" s="2"/>
      <c r="J197" s="2" t="str">
        <f>IF(I197="","",I197-(D197*Paramètres!$B$2+E197*Paramètres!$B$3+F197+G197))</f>
        <v/>
      </c>
      <c r="K197" s="2"/>
    </row>
    <row r="198" spans="1:11" x14ac:dyDescent="0.2">
      <c r="A198" s="2"/>
      <c r="B198" s="2"/>
      <c r="C198" s="2"/>
      <c r="D198" s="2"/>
      <c r="E198" s="2"/>
      <c r="F198" s="2"/>
      <c r="G198" s="2"/>
      <c r="H198" s="2" t="str">
        <f>IF(B198="","",D198*Paramètres!$B$2+E198*Paramètres!$B$3+F198+G198*(1+Paramètres!$B$5/100))</f>
        <v/>
      </c>
      <c r="I198" s="2"/>
      <c r="J198" s="2" t="str">
        <f>IF(I198="","",I198-(D198*Paramètres!$B$2+E198*Paramètres!$B$3+F198+G198))</f>
        <v/>
      </c>
      <c r="K198" s="2"/>
    </row>
    <row r="199" spans="1:11" x14ac:dyDescent="0.2">
      <c r="A199" s="2"/>
      <c r="B199" s="2"/>
      <c r="C199" s="2"/>
      <c r="D199" s="2"/>
      <c r="E199" s="2"/>
      <c r="F199" s="2"/>
      <c r="G199" s="2"/>
      <c r="H199" s="2" t="str">
        <f>IF(B199="","",D199*Paramètres!$B$2+E199*Paramètres!$B$3+F199+G199*(1+Paramètres!$B$5/100))</f>
        <v/>
      </c>
      <c r="I199" s="2"/>
      <c r="J199" s="2" t="str">
        <f>IF(I199="","",I199-(D199*Paramètres!$B$2+E199*Paramètres!$B$3+F199+G199))</f>
        <v/>
      </c>
      <c r="K199" s="2"/>
    </row>
    <row r="200" spans="1:11" x14ac:dyDescent="0.2">
      <c r="A200" s="2"/>
      <c r="B200" s="2"/>
      <c r="C200" s="2"/>
      <c r="D200" s="2"/>
      <c r="E200" s="2"/>
      <c r="F200" s="2"/>
      <c r="G200" s="2"/>
      <c r="H200" s="2" t="str">
        <f>IF(B200="","",D200*Paramètres!$B$2+E200*Paramètres!$B$3+F200+G200*(1+Paramètres!$B$5/100))</f>
        <v/>
      </c>
      <c r="I200" s="2"/>
      <c r="J200" s="2" t="str">
        <f>IF(I200="","",I200-(D200*Paramètres!$B$2+E200*Paramètres!$B$3+F200+G200))</f>
        <v/>
      </c>
      <c r="K200" s="2"/>
    </row>
    <row r="201" spans="1:11" x14ac:dyDescent="0.2">
      <c r="A201" s="2"/>
      <c r="B201" s="2"/>
      <c r="C201" s="2"/>
      <c r="D201" s="2"/>
      <c r="E201" s="2"/>
      <c r="F201" s="2"/>
      <c r="G201" s="2"/>
      <c r="H201" s="2" t="str">
        <f>IF(B201="","",D201*Paramètres!$B$2+E201*Paramètres!$B$3+F201+G201*(1+Paramètres!$B$5/100))</f>
        <v/>
      </c>
      <c r="I201" s="2"/>
      <c r="J201" s="2" t="str">
        <f>IF(I201="","",I201-(D201*Paramètres!$B$2+E201*Paramètres!$B$3+F201+G201))</f>
        <v/>
      </c>
      <c r="K201" s="2"/>
    </row>
    <row r="202" spans="1:11" x14ac:dyDescent="0.2">
      <c r="A202" s="2"/>
      <c r="B202" s="2"/>
      <c r="C202" s="2"/>
      <c r="D202" s="2"/>
      <c r="E202" s="2"/>
      <c r="F202" s="2"/>
      <c r="G202" s="2"/>
      <c r="H202" s="2" t="str">
        <f>IF(B202="","",D202*Paramètres!$B$2+E202*Paramètres!$B$3+F202+G202*(1+Paramètres!$B$5/100))</f>
        <v/>
      </c>
      <c r="I202" s="2"/>
      <c r="J202" s="2" t="str">
        <f>IF(I202="","",I202-(D202*Paramètres!$B$2+E202*Paramètres!$B$3+F202+G202))</f>
        <v/>
      </c>
      <c r="K202" s="2"/>
    </row>
    <row r="203" spans="1:11" x14ac:dyDescent="0.2">
      <c r="A203" s="2"/>
      <c r="B203" s="2"/>
      <c r="C203" s="2"/>
      <c r="D203" s="2"/>
      <c r="E203" s="2"/>
      <c r="F203" s="2"/>
      <c r="G203" s="2"/>
      <c r="H203" s="2" t="str">
        <f>IF(B203="","",D203*Paramètres!$B$2+E203*Paramètres!$B$3+F203+G203*(1+Paramètres!$B$5/100))</f>
        <v/>
      </c>
      <c r="I203" s="2"/>
      <c r="J203" s="2" t="str">
        <f>IF(I203="","",I203-(D203*Paramètres!$B$2+E203*Paramètres!$B$3+F203+G203))</f>
        <v/>
      </c>
      <c r="K203" s="2"/>
    </row>
    <row r="204" spans="1:11" x14ac:dyDescent="0.2">
      <c r="A204" s="2"/>
      <c r="B204" s="2"/>
      <c r="C204" s="2"/>
      <c r="D204" s="2"/>
      <c r="E204" s="2"/>
      <c r="F204" s="2"/>
      <c r="G204" s="2"/>
      <c r="H204" s="2" t="str">
        <f>IF(B204="","",D204*Paramètres!$B$2+E204*Paramètres!$B$3+F204+G204*(1+Paramètres!$B$5/100))</f>
        <v/>
      </c>
      <c r="I204" s="2"/>
      <c r="J204" s="2" t="str">
        <f>IF(I204="","",I204-(D204*Paramètres!$B$2+E204*Paramètres!$B$3+F204+G204))</f>
        <v/>
      </c>
      <c r="K204" s="2"/>
    </row>
    <row r="205" spans="1:11" x14ac:dyDescent="0.2">
      <c r="A205" s="2"/>
      <c r="B205" s="2"/>
      <c r="C205" s="2"/>
      <c r="D205" s="2"/>
      <c r="E205" s="2"/>
      <c r="F205" s="2"/>
      <c r="G205" s="2"/>
      <c r="H205" s="2" t="str">
        <f>IF(B205="","",D205*Paramètres!$B$2+E205*Paramètres!$B$3+F205+G205*(1+Paramètres!$B$5/100))</f>
        <v/>
      </c>
      <c r="I205" s="2"/>
      <c r="J205" s="2" t="str">
        <f>IF(I205="","",I205-(D205*Paramètres!$B$2+E205*Paramètres!$B$3+F205+G205))</f>
        <v/>
      </c>
      <c r="K205" s="2"/>
    </row>
    <row r="206" spans="1:11" x14ac:dyDescent="0.2">
      <c r="A206" s="2"/>
      <c r="B206" s="2"/>
      <c r="C206" s="2"/>
      <c r="D206" s="2"/>
      <c r="E206" s="2"/>
      <c r="F206" s="2"/>
      <c r="G206" s="2"/>
      <c r="H206" s="2" t="str">
        <f>IF(B206="","",D206*Paramètres!$B$2+E206*Paramètres!$B$3+F206+G206*(1+Paramètres!$B$5/100))</f>
        <v/>
      </c>
      <c r="I206" s="2"/>
      <c r="J206" s="2" t="str">
        <f>IF(I206="","",I206-(D206*Paramètres!$B$2+E206*Paramètres!$B$3+F206+G206))</f>
        <v/>
      </c>
      <c r="K206" s="2"/>
    </row>
    <row r="207" spans="1:11" x14ac:dyDescent="0.2">
      <c r="A207" s="2"/>
      <c r="B207" s="2"/>
      <c r="C207" s="2"/>
      <c r="D207" s="2"/>
      <c r="E207" s="2"/>
      <c r="F207" s="2"/>
      <c r="G207" s="2"/>
      <c r="H207" s="2" t="str">
        <f>IF(B207="","",D207*Paramètres!$B$2+E207*Paramètres!$B$3+F207+G207*(1+Paramètres!$B$5/100))</f>
        <v/>
      </c>
      <c r="I207" s="2"/>
      <c r="J207" s="2" t="str">
        <f>IF(I207="","",I207-(D207*Paramètres!$B$2+E207*Paramètres!$B$3+F207+G207))</f>
        <v/>
      </c>
      <c r="K207" s="2"/>
    </row>
    <row r="208" spans="1:11" x14ac:dyDescent="0.2">
      <c r="A208" s="2"/>
      <c r="B208" s="2"/>
      <c r="C208" s="2"/>
      <c r="D208" s="2"/>
      <c r="E208" s="2"/>
      <c r="F208" s="2"/>
      <c r="G208" s="2"/>
      <c r="H208" s="2" t="str">
        <f>IF(B208="","",D208*Paramètres!$B$2+E208*Paramètres!$B$3+F208+G208*(1+Paramètres!$B$5/100))</f>
        <v/>
      </c>
      <c r="I208" s="2"/>
      <c r="J208" s="2" t="str">
        <f>IF(I208="","",I208-(D208*Paramètres!$B$2+E208*Paramètres!$B$3+F208+G208))</f>
        <v/>
      </c>
      <c r="K208" s="2"/>
    </row>
    <row r="209" spans="1:11" x14ac:dyDescent="0.2">
      <c r="A209" s="2"/>
      <c r="B209" s="2"/>
      <c r="C209" s="2"/>
      <c r="D209" s="2"/>
      <c r="E209" s="2"/>
      <c r="F209" s="2"/>
      <c r="G209" s="2"/>
      <c r="H209" s="2" t="str">
        <f>IF(B209="","",D209*Paramètres!$B$2+E209*Paramètres!$B$3+F209+G209*(1+Paramètres!$B$5/100))</f>
        <v/>
      </c>
      <c r="I209" s="2"/>
      <c r="J209" s="2" t="str">
        <f>IF(I209="","",I209-(D209*Paramètres!$B$2+E209*Paramètres!$B$3+F209+G209))</f>
        <v/>
      </c>
      <c r="K209" s="2"/>
    </row>
    <row r="210" spans="1:11" x14ac:dyDescent="0.2">
      <c r="A210" s="2"/>
      <c r="B210" s="2"/>
      <c r="C210" s="2"/>
      <c r="D210" s="2"/>
      <c r="E210" s="2"/>
      <c r="F210" s="2"/>
      <c r="G210" s="2"/>
      <c r="H210" s="2" t="str">
        <f>IF(B210="","",D210*Paramètres!$B$2+E210*Paramètres!$B$3+F210+G210*(1+Paramètres!$B$5/100))</f>
        <v/>
      </c>
      <c r="I210" s="2"/>
      <c r="J210" s="2" t="str">
        <f>IF(I210="","",I210-(D210*Paramètres!$B$2+E210*Paramètres!$B$3+F210+G210))</f>
        <v/>
      </c>
      <c r="K210" s="2"/>
    </row>
    <row r="211" spans="1:11" x14ac:dyDescent="0.2">
      <c r="A211" s="2"/>
      <c r="B211" s="2"/>
      <c r="C211" s="2"/>
      <c r="D211" s="2"/>
      <c r="E211" s="2"/>
      <c r="F211" s="2"/>
      <c r="G211" s="2"/>
      <c r="H211" s="2" t="str">
        <f>IF(B211="","",D211*Paramètres!$B$2+E211*Paramètres!$B$3+F211+G211*(1+Paramètres!$B$5/100))</f>
        <v/>
      </c>
      <c r="I211" s="2"/>
      <c r="J211" s="2" t="str">
        <f>IF(I211="","",I211-(D211*Paramètres!$B$2+E211*Paramètres!$B$3+F211+G211))</f>
        <v/>
      </c>
      <c r="K211" s="2"/>
    </row>
    <row r="212" spans="1:11" x14ac:dyDescent="0.2">
      <c r="A212" s="2"/>
      <c r="B212" s="2"/>
      <c r="C212" s="2"/>
      <c r="D212" s="2"/>
      <c r="E212" s="2"/>
      <c r="F212" s="2"/>
      <c r="G212" s="2"/>
      <c r="H212" s="2" t="str">
        <f>IF(B212="","",D212*Paramètres!$B$2+E212*Paramètres!$B$3+F212+G212*(1+Paramètres!$B$5/100))</f>
        <v/>
      </c>
      <c r="I212" s="2"/>
      <c r="J212" s="2" t="str">
        <f>IF(I212="","",I212-(D212*Paramètres!$B$2+E212*Paramètres!$B$3+F212+G212))</f>
        <v/>
      </c>
      <c r="K212" s="2"/>
    </row>
    <row r="213" spans="1:11" x14ac:dyDescent="0.2">
      <c r="A213" s="2"/>
      <c r="B213" s="2"/>
      <c r="C213" s="2"/>
      <c r="D213" s="2"/>
      <c r="E213" s="2"/>
      <c r="F213" s="2"/>
      <c r="G213" s="2"/>
      <c r="H213" s="2" t="str">
        <f>IF(B213="","",D213*Paramètres!$B$2+E213*Paramètres!$B$3+F213+G213*(1+Paramètres!$B$5/100))</f>
        <v/>
      </c>
      <c r="I213" s="2"/>
      <c r="J213" s="2" t="str">
        <f>IF(I213="","",I213-(D213*Paramètres!$B$2+E213*Paramètres!$B$3+F213+G213))</f>
        <v/>
      </c>
      <c r="K213" s="2"/>
    </row>
    <row r="214" spans="1:11" x14ac:dyDescent="0.2">
      <c r="A214" s="2"/>
      <c r="B214" s="2"/>
      <c r="C214" s="2"/>
      <c r="D214" s="2"/>
      <c r="E214" s="2"/>
      <c r="F214" s="2"/>
      <c r="G214" s="2"/>
      <c r="H214" s="2" t="str">
        <f>IF(B214="","",D214*Paramètres!$B$2+E214*Paramètres!$B$3+F214+G214*(1+Paramètres!$B$5/100))</f>
        <v/>
      </c>
      <c r="I214" s="2"/>
      <c r="J214" s="2" t="str">
        <f>IF(I214="","",I214-(D214*Paramètres!$B$2+E214*Paramètres!$B$3+F214+G214))</f>
        <v/>
      </c>
      <c r="K214" s="2"/>
    </row>
    <row r="215" spans="1:11" x14ac:dyDescent="0.2">
      <c r="A215" s="2"/>
      <c r="B215" s="2"/>
      <c r="C215" s="2"/>
      <c r="D215" s="2"/>
      <c r="E215" s="2"/>
      <c r="F215" s="2"/>
      <c r="G215" s="2"/>
      <c r="H215" s="2" t="str">
        <f>IF(B215="","",D215*Paramètres!$B$2+E215*Paramètres!$B$3+F215+G215*(1+Paramètres!$B$5/100))</f>
        <v/>
      </c>
      <c r="I215" s="2"/>
      <c r="J215" s="2" t="str">
        <f>IF(I215="","",I215-(D215*Paramètres!$B$2+E215*Paramètres!$B$3+F215+G215))</f>
        <v/>
      </c>
      <c r="K215" s="2"/>
    </row>
    <row r="216" spans="1:11" x14ac:dyDescent="0.2">
      <c r="A216" s="2"/>
      <c r="B216" s="2"/>
      <c r="C216" s="2"/>
      <c r="D216" s="2"/>
      <c r="E216" s="2"/>
      <c r="F216" s="2"/>
      <c r="G216" s="2"/>
      <c r="H216" s="2" t="str">
        <f>IF(B216="","",D216*Paramètres!$B$2+E216*Paramètres!$B$3+F216+G216*(1+Paramètres!$B$5/100))</f>
        <v/>
      </c>
      <c r="I216" s="2"/>
      <c r="J216" s="2" t="str">
        <f>IF(I216="","",I216-(D216*Paramètres!$B$2+E216*Paramètres!$B$3+F216+G216))</f>
        <v/>
      </c>
      <c r="K216" s="2"/>
    </row>
    <row r="217" spans="1:11" x14ac:dyDescent="0.2">
      <c r="A217" s="2"/>
      <c r="B217" s="2"/>
      <c r="C217" s="2"/>
      <c r="D217" s="2"/>
      <c r="E217" s="2"/>
      <c r="F217" s="2"/>
      <c r="G217" s="2"/>
      <c r="H217" s="2" t="str">
        <f>IF(B217="","",D217*Paramètres!$B$2+E217*Paramètres!$B$3+F217+G217*(1+Paramètres!$B$5/100))</f>
        <v/>
      </c>
      <c r="I217" s="2"/>
      <c r="J217" s="2" t="str">
        <f>IF(I217="","",I217-(D217*Paramètres!$B$2+E217*Paramètres!$B$3+F217+G217))</f>
        <v/>
      </c>
      <c r="K217" s="2"/>
    </row>
    <row r="218" spans="1:11" x14ac:dyDescent="0.2">
      <c r="A218" s="2"/>
      <c r="B218" s="2"/>
      <c r="C218" s="2"/>
      <c r="D218" s="2"/>
      <c r="E218" s="2"/>
      <c r="F218" s="2"/>
      <c r="G218" s="2"/>
      <c r="H218" s="2" t="str">
        <f>IF(B218="","",D218*Paramètres!$B$2+E218*Paramètres!$B$3+F218+G218*(1+Paramètres!$B$5/100))</f>
        <v/>
      </c>
      <c r="I218" s="2"/>
      <c r="J218" s="2" t="str">
        <f>IF(I218="","",I218-(D218*Paramètres!$B$2+E218*Paramètres!$B$3+F218+G218))</f>
        <v/>
      </c>
      <c r="K218" s="2"/>
    </row>
    <row r="219" spans="1:11" x14ac:dyDescent="0.2">
      <c r="A219" s="2"/>
      <c r="B219" s="2"/>
      <c r="C219" s="2"/>
      <c r="D219" s="2"/>
      <c r="E219" s="2"/>
      <c r="F219" s="2"/>
      <c r="G219" s="2"/>
      <c r="H219" s="2" t="str">
        <f>IF(B219="","",D219*Paramètres!$B$2+E219*Paramètres!$B$3+F219+G219*(1+Paramètres!$B$5/100))</f>
        <v/>
      </c>
      <c r="I219" s="2"/>
      <c r="J219" s="2" t="str">
        <f>IF(I219="","",I219-(D219*Paramètres!$B$2+E219*Paramètres!$B$3+F219+G219))</f>
        <v/>
      </c>
      <c r="K219" s="2"/>
    </row>
    <row r="220" spans="1:11" x14ac:dyDescent="0.2">
      <c r="A220" s="2"/>
      <c r="B220" s="2"/>
      <c r="C220" s="2"/>
      <c r="D220" s="2"/>
      <c r="E220" s="2"/>
      <c r="F220" s="2"/>
      <c r="G220" s="2"/>
      <c r="H220" s="2" t="str">
        <f>IF(B220="","",D220*Paramètres!$B$2+E220*Paramètres!$B$3+F220+G220*(1+Paramètres!$B$5/100))</f>
        <v/>
      </c>
      <c r="I220" s="2"/>
      <c r="J220" s="2" t="str">
        <f>IF(I220="","",I220-(D220*Paramètres!$B$2+E220*Paramètres!$B$3+F220+G220))</f>
        <v/>
      </c>
      <c r="K220" s="2"/>
    </row>
    <row r="221" spans="1:11" x14ac:dyDescent="0.2">
      <c r="A221" s="2"/>
      <c r="B221" s="2"/>
      <c r="C221" s="2"/>
      <c r="D221" s="2"/>
      <c r="E221" s="2"/>
      <c r="F221" s="2"/>
      <c r="G221" s="2"/>
      <c r="H221" s="2" t="str">
        <f>IF(B221="","",D221*Paramètres!$B$2+E221*Paramètres!$B$3+F221+G221*(1+Paramètres!$B$5/100))</f>
        <v/>
      </c>
      <c r="I221" s="2"/>
      <c r="J221" s="2" t="str">
        <f>IF(I221="","",I221-(D221*Paramètres!$B$2+E221*Paramètres!$B$3+F221+G221))</f>
        <v/>
      </c>
      <c r="K221" s="2"/>
    </row>
    <row r="222" spans="1:11" x14ac:dyDescent="0.2">
      <c r="A222" s="2"/>
      <c r="B222" s="2"/>
      <c r="C222" s="2"/>
      <c r="D222" s="2"/>
      <c r="E222" s="2"/>
      <c r="F222" s="2"/>
      <c r="G222" s="2"/>
      <c r="H222" s="2" t="str">
        <f>IF(B222="","",D222*Paramètres!$B$2+E222*Paramètres!$B$3+F222+G222*(1+Paramètres!$B$5/100))</f>
        <v/>
      </c>
      <c r="I222" s="2"/>
      <c r="J222" s="2" t="str">
        <f>IF(I222="","",I222-(D222*Paramètres!$B$2+E222*Paramètres!$B$3+F222+G222))</f>
        <v/>
      </c>
      <c r="K222" s="2"/>
    </row>
    <row r="223" spans="1:11" x14ac:dyDescent="0.2">
      <c r="A223" s="2"/>
      <c r="B223" s="2"/>
      <c r="C223" s="2"/>
      <c r="D223" s="2"/>
      <c r="E223" s="2"/>
      <c r="F223" s="2"/>
      <c r="G223" s="2"/>
      <c r="H223" s="2" t="str">
        <f>IF(B223="","",D223*Paramètres!$B$2+E223*Paramètres!$B$3+F223+G223*(1+Paramètres!$B$5/100))</f>
        <v/>
      </c>
      <c r="I223" s="2"/>
      <c r="J223" s="2" t="str">
        <f>IF(I223="","",I223-(D223*Paramètres!$B$2+E223*Paramètres!$B$3+F223+G223))</f>
        <v/>
      </c>
      <c r="K223" s="2"/>
    </row>
    <row r="224" spans="1:11" x14ac:dyDescent="0.2">
      <c r="A224" s="2"/>
      <c r="B224" s="2"/>
      <c r="C224" s="2"/>
      <c r="D224" s="2"/>
      <c r="E224" s="2"/>
      <c r="F224" s="2"/>
      <c r="G224" s="2"/>
      <c r="H224" s="2" t="str">
        <f>IF(B224="","",D224*Paramètres!$B$2+E224*Paramètres!$B$3+F224+G224*(1+Paramètres!$B$5/100))</f>
        <v/>
      </c>
      <c r="I224" s="2"/>
      <c r="J224" s="2" t="str">
        <f>IF(I224="","",I224-(D224*Paramètres!$B$2+E224*Paramètres!$B$3+F224+G224))</f>
        <v/>
      </c>
      <c r="K224" s="2"/>
    </row>
    <row r="225" spans="1:11" x14ac:dyDescent="0.2">
      <c r="A225" s="2"/>
      <c r="B225" s="2"/>
      <c r="C225" s="2"/>
      <c r="D225" s="2"/>
      <c r="E225" s="2"/>
      <c r="F225" s="2"/>
      <c r="G225" s="2"/>
      <c r="H225" s="2" t="str">
        <f>IF(B225="","",D225*Paramètres!$B$2+E225*Paramètres!$B$3+F225+G225*(1+Paramètres!$B$5/100))</f>
        <v/>
      </c>
      <c r="I225" s="2"/>
      <c r="J225" s="2" t="str">
        <f>IF(I225="","",I225-(D225*Paramètres!$B$2+E225*Paramètres!$B$3+F225+G225))</f>
        <v/>
      </c>
      <c r="K225" s="2"/>
    </row>
    <row r="226" spans="1:11" x14ac:dyDescent="0.2">
      <c r="A226" s="2"/>
      <c r="B226" s="2"/>
      <c r="C226" s="2"/>
      <c r="D226" s="2"/>
      <c r="E226" s="2"/>
      <c r="F226" s="2"/>
      <c r="G226" s="2"/>
      <c r="H226" s="2" t="str">
        <f>IF(B226="","",D226*Paramètres!$B$2+E226*Paramètres!$B$3+F226+G226*(1+Paramètres!$B$5/100))</f>
        <v/>
      </c>
      <c r="I226" s="2"/>
      <c r="J226" s="2" t="str">
        <f>IF(I226="","",I226-(D226*Paramètres!$B$2+E226*Paramètres!$B$3+F226+G226))</f>
        <v/>
      </c>
      <c r="K226" s="2"/>
    </row>
    <row r="227" spans="1:11" x14ac:dyDescent="0.2">
      <c r="A227" s="2"/>
      <c r="B227" s="2"/>
      <c r="C227" s="2"/>
      <c r="D227" s="2"/>
      <c r="E227" s="2"/>
      <c r="F227" s="2"/>
      <c r="G227" s="2"/>
      <c r="H227" s="2" t="str">
        <f>IF(B227="","",D227*Paramètres!$B$2+E227*Paramètres!$B$3+F227+G227*(1+Paramètres!$B$5/100))</f>
        <v/>
      </c>
      <c r="I227" s="2"/>
      <c r="J227" s="2" t="str">
        <f>IF(I227="","",I227-(D227*Paramètres!$B$2+E227*Paramètres!$B$3+F227+G227))</f>
        <v/>
      </c>
      <c r="K227" s="2"/>
    </row>
    <row r="228" spans="1:11" x14ac:dyDescent="0.2">
      <c r="A228" s="2"/>
      <c r="B228" s="2"/>
      <c r="C228" s="2"/>
      <c r="D228" s="2"/>
      <c r="E228" s="2"/>
      <c r="F228" s="2"/>
      <c r="G228" s="2"/>
      <c r="H228" s="2" t="str">
        <f>IF(B228="","",D228*Paramètres!$B$2+E228*Paramètres!$B$3+F228+G228*(1+Paramètres!$B$5/100))</f>
        <v/>
      </c>
      <c r="I228" s="2"/>
      <c r="J228" s="2" t="str">
        <f>IF(I228="","",I228-(D228*Paramètres!$B$2+E228*Paramètres!$B$3+F228+G228))</f>
        <v/>
      </c>
      <c r="K228" s="2"/>
    </row>
    <row r="229" spans="1:11" x14ac:dyDescent="0.2">
      <c r="A229" s="2"/>
      <c r="B229" s="2"/>
      <c r="C229" s="2"/>
      <c r="D229" s="2"/>
      <c r="E229" s="2"/>
      <c r="F229" s="2"/>
      <c r="G229" s="2"/>
      <c r="H229" s="2" t="str">
        <f>IF(B229="","",D229*Paramètres!$B$2+E229*Paramètres!$B$3+F229+G229*(1+Paramètres!$B$5/100))</f>
        <v/>
      </c>
      <c r="I229" s="2"/>
      <c r="J229" s="2" t="str">
        <f>IF(I229="","",I229-(D229*Paramètres!$B$2+E229*Paramètres!$B$3+F229+G229))</f>
        <v/>
      </c>
      <c r="K229" s="2"/>
    </row>
    <row r="230" spans="1:11" x14ac:dyDescent="0.2">
      <c r="A230" s="2"/>
      <c r="B230" s="2"/>
      <c r="C230" s="2"/>
      <c r="D230" s="2"/>
      <c r="E230" s="2"/>
      <c r="F230" s="2"/>
      <c r="G230" s="2"/>
      <c r="H230" s="2" t="str">
        <f>IF(B230="","",D230*Paramètres!$B$2+E230*Paramètres!$B$3+F230+G230*(1+Paramètres!$B$5/100))</f>
        <v/>
      </c>
      <c r="I230" s="2"/>
      <c r="J230" s="2" t="str">
        <f>IF(I230="","",I230-(D230*Paramètres!$B$2+E230*Paramètres!$B$3+F230+G230))</f>
        <v/>
      </c>
      <c r="K230" s="2"/>
    </row>
    <row r="231" spans="1:11" x14ac:dyDescent="0.2">
      <c r="A231" s="2"/>
      <c r="B231" s="2"/>
      <c r="C231" s="2"/>
      <c r="D231" s="2"/>
      <c r="E231" s="2"/>
      <c r="F231" s="2"/>
      <c r="G231" s="2"/>
      <c r="H231" s="2" t="str">
        <f>IF(B231="","",D231*Paramètres!$B$2+E231*Paramètres!$B$3+F231+G231*(1+Paramètres!$B$5/100))</f>
        <v/>
      </c>
      <c r="I231" s="2"/>
      <c r="J231" s="2" t="str">
        <f>IF(I231="","",I231-(D231*Paramètres!$B$2+E231*Paramètres!$B$3+F231+G231))</f>
        <v/>
      </c>
      <c r="K231" s="2"/>
    </row>
    <row r="232" spans="1:11" x14ac:dyDescent="0.2">
      <c r="A232" s="2"/>
      <c r="B232" s="2"/>
      <c r="C232" s="2"/>
      <c r="D232" s="2"/>
      <c r="E232" s="2"/>
      <c r="F232" s="2"/>
      <c r="G232" s="2"/>
      <c r="H232" s="2" t="str">
        <f>IF(B232="","",D232*Paramètres!$B$2+E232*Paramètres!$B$3+F232+G232*(1+Paramètres!$B$5/100))</f>
        <v/>
      </c>
      <c r="I232" s="2"/>
      <c r="J232" s="2" t="str">
        <f>IF(I232="","",I232-(D232*Paramètres!$B$2+E232*Paramètres!$B$3+F232+G232))</f>
        <v/>
      </c>
      <c r="K232" s="2"/>
    </row>
    <row r="233" spans="1:11" x14ac:dyDescent="0.2">
      <c r="A233" s="2"/>
      <c r="B233" s="2"/>
      <c r="C233" s="2"/>
      <c r="D233" s="2"/>
      <c r="E233" s="2"/>
      <c r="F233" s="2"/>
      <c r="G233" s="2"/>
      <c r="H233" s="2" t="str">
        <f>IF(B233="","",D233*Paramètres!$B$2+E233*Paramètres!$B$3+F233+G233*(1+Paramètres!$B$5/100))</f>
        <v/>
      </c>
      <c r="I233" s="2"/>
      <c r="J233" s="2" t="str">
        <f>IF(I233="","",I233-(D233*Paramètres!$B$2+E233*Paramètres!$B$3+F233+G233))</f>
        <v/>
      </c>
      <c r="K233" s="2"/>
    </row>
    <row r="234" spans="1:11" x14ac:dyDescent="0.2">
      <c r="A234" s="2"/>
      <c r="B234" s="2"/>
      <c r="C234" s="2"/>
      <c r="D234" s="2"/>
      <c r="E234" s="2"/>
      <c r="F234" s="2"/>
      <c r="G234" s="2"/>
      <c r="H234" s="2" t="str">
        <f>IF(B234="","",D234*Paramètres!$B$2+E234*Paramètres!$B$3+F234+G234*(1+Paramètres!$B$5/100))</f>
        <v/>
      </c>
      <c r="I234" s="2"/>
      <c r="J234" s="2" t="str">
        <f>IF(I234="","",I234-(D234*Paramètres!$B$2+E234*Paramètres!$B$3+F234+G234))</f>
        <v/>
      </c>
      <c r="K234" s="2"/>
    </row>
    <row r="235" spans="1:11" x14ac:dyDescent="0.2">
      <c r="A235" s="2"/>
      <c r="B235" s="2"/>
      <c r="C235" s="2"/>
      <c r="D235" s="2"/>
      <c r="E235" s="2"/>
      <c r="F235" s="2"/>
      <c r="G235" s="2"/>
      <c r="H235" s="2" t="str">
        <f>IF(B235="","",D235*Paramètres!$B$2+E235*Paramètres!$B$3+F235+G235*(1+Paramètres!$B$5/100))</f>
        <v/>
      </c>
      <c r="I235" s="2"/>
      <c r="J235" s="2" t="str">
        <f>IF(I235="","",I235-(D235*Paramètres!$B$2+E235*Paramètres!$B$3+F235+G235))</f>
        <v/>
      </c>
      <c r="K235" s="2"/>
    </row>
    <row r="236" spans="1:11" x14ac:dyDescent="0.2">
      <c r="A236" s="2"/>
      <c r="B236" s="2"/>
      <c r="C236" s="2"/>
      <c r="D236" s="2"/>
      <c r="E236" s="2"/>
      <c r="F236" s="2"/>
      <c r="G236" s="2"/>
      <c r="H236" s="2" t="str">
        <f>IF(B236="","",D236*Paramètres!$B$2+E236*Paramètres!$B$3+F236+G236*(1+Paramètres!$B$5/100))</f>
        <v/>
      </c>
      <c r="I236" s="2"/>
      <c r="J236" s="2" t="str">
        <f>IF(I236="","",I236-(D236*Paramètres!$B$2+E236*Paramètres!$B$3+F236+G236))</f>
        <v/>
      </c>
      <c r="K236" s="2"/>
    </row>
    <row r="237" spans="1:11" x14ac:dyDescent="0.2">
      <c r="A237" s="2"/>
      <c r="B237" s="2"/>
      <c r="C237" s="2"/>
      <c r="D237" s="2"/>
      <c r="E237" s="2"/>
      <c r="F237" s="2"/>
      <c r="G237" s="2"/>
      <c r="H237" s="2" t="str">
        <f>IF(B237="","",D237*Paramètres!$B$2+E237*Paramètres!$B$3+F237+G237*(1+Paramètres!$B$5/100))</f>
        <v/>
      </c>
      <c r="I237" s="2"/>
      <c r="J237" s="2" t="str">
        <f>IF(I237="","",I237-(D237*Paramètres!$B$2+E237*Paramètres!$B$3+F237+G237))</f>
        <v/>
      </c>
      <c r="K237" s="2"/>
    </row>
    <row r="238" spans="1:11" x14ac:dyDescent="0.2">
      <c r="A238" s="2"/>
      <c r="B238" s="2"/>
      <c r="C238" s="2"/>
      <c r="D238" s="2"/>
      <c r="E238" s="2"/>
      <c r="F238" s="2"/>
      <c r="G238" s="2"/>
      <c r="H238" s="2" t="str">
        <f>IF(B238="","",D238*Paramètres!$B$2+E238*Paramètres!$B$3+F238+G238*(1+Paramètres!$B$5/100))</f>
        <v/>
      </c>
      <c r="I238" s="2"/>
      <c r="J238" s="2" t="str">
        <f>IF(I238="","",I238-(D238*Paramètres!$B$2+E238*Paramètres!$B$3+F238+G238))</f>
        <v/>
      </c>
      <c r="K238" s="2"/>
    </row>
    <row r="239" spans="1:11" x14ac:dyDescent="0.2">
      <c r="A239" s="2"/>
      <c r="B239" s="2"/>
      <c r="C239" s="2"/>
      <c r="D239" s="2"/>
      <c r="E239" s="2"/>
      <c r="F239" s="2"/>
      <c r="G239" s="2"/>
      <c r="H239" s="2" t="str">
        <f>IF(B239="","",D239*Paramètres!$B$2+E239*Paramètres!$B$3+F239+G239*(1+Paramètres!$B$5/100))</f>
        <v/>
      </c>
      <c r="I239" s="2"/>
      <c r="J239" s="2" t="str">
        <f>IF(I239="","",I239-(D239*Paramètres!$B$2+E239*Paramètres!$B$3+F239+G239))</f>
        <v/>
      </c>
      <c r="K239" s="2"/>
    </row>
    <row r="240" spans="1:11" x14ac:dyDescent="0.2">
      <c r="A240" s="2"/>
      <c r="B240" s="2"/>
      <c r="C240" s="2"/>
      <c r="D240" s="2"/>
      <c r="E240" s="2"/>
      <c r="F240" s="2"/>
      <c r="G240" s="2"/>
      <c r="H240" s="2" t="str">
        <f>IF(B240="","",D240*Paramètres!$B$2+E240*Paramètres!$B$3+F240+G240*(1+Paramètres!$B$5/100))</f>
        <v/>
      </c>
      <c r="I240" s="2"/>
      <c r="J240" s="2" t="str">
        <f>IF(I240="","",I240-(D240*Paramètres!$B$2+E240*Paramètres!$B$3+F240+G240))</f>
        <v/>
      </c>
      <c r="K240" s="2"/>
    </row>
    <row r="241" spans="1:11" x14ac:dyDescent="0.2">
      <c r="A241" s="2"/>
      <c r="B241" s="2"/>
      <c r="C241" s="2"/>
      <c r="D241" s="2"/>
      <c r="E241" s="2"/>
      <c r="F241" s="2"/>
      <c r="G241" s="2"/>
      <c r="H241" s="2" t="str">
        <f>IF(B241="","",D241*Paramètres!$B$2+E241*Paramètres!$B$3+F241+G241*(1+Paramètres!$B$5/100))</f>
        <v/>
      </c>
      <c r="I241" s="2"/>
      <c r="J241" s="2" t="str">
        <f>IF(I241="","",I241-(D241*Paramètres!$B$2+E241*Paramètres!$B$3+F241+G241))</f>
        <v/>
      </c>
      <c r="K241" s="2"/>
    </row>
    <row r="242" spans="1:11" x14ac:dyDescent="0.2">
      <c r="A242" s="2"/>
      <c r="B242" s="2"/>
      <c r="C242" s="2"/>
      <c r="D242" s="2"/>
      <c r="E242" s="2"/>
      <c r="F242" s="2"/>
      <c r="G242" s="2"/>
      <c r="H242" s="2" t="str">
        <f>IF(B242="","",D242*Paramètres!$B$2+E242*Paramètres!$B$3+F242+G242*(1+Paramètres!$B$5/100))</f>
        <v/>
      </c>
      <c r="I242" s="2"/>
      <c r="J242" s="2" t="str">
        <f>IF(I242="","",I242-(D242*Paramètres!$B$2+E242*Paramètres!$B$3+F242+G242))</f>
        <v/>
      </c>
      <c r="K242" s="2"/>
    </row>
    <row r="243" spans="1:11" x14ac:dyDescent="0.2">
      <c r="A243" s="2"/>
      <c r="B243" s="2"/>
      <c r="C243" s="2"/>
      <c r="D243" s="2"/>
      <c r="E243" s="2"/>
      <c r="F243" s="2"/>
      <c r="G243" s="2"/>
      <c r="H243" s="2" t="str">
        <f>IF(B243="","",D243*Paramètres!$B$2+E243*Paramètres!$B$3+F243+G243*(1+Paramètres!$B$5/100))</f>
        <v/>
      </c>
      <c r="I243" s="2"/>
      <c r="J243" s="2" t="str">
        <f>IF(I243="","",I243-(D243*Paramètres!$B$2+E243*Paramètres!$B$3+F243+G243))</f>
        <v/>
      </c>
      <c r="K243" s="2"/>
    </row>
    <row r="244" spans="1:11" x14ac:dyDescent="0.2">
      <c r="A244" s="2"/>
      <c r="B244" s="2"/>
      <c r="C244" s="2"/>
      <c r="D244" s="2"/>
      <c r="E244" s="2"/>
      <c r="F244" s="2"/>
      <c r="G244" s="2"/>
      <c r="H244" s="2" t="str">
        <f>IF(B244="","",D244*Paramètres!$B$2+E244*Paramètres!$B$3+F244+G244*(1+Paramètres!$B$5/100))</f>
        <v/>
      </c>
      <c r="I244" s="2"/>
      <c r="J244" s="2" t="str">
        <f>IF(I244="","",I244-(D244*Paramètres!$B$2+E244*Paramètres!$B$3+F244+G244))</f>
        <v/>
      </c>
      <c r="K244" s="2"/>
    </row>
    <row r="245" spans="1:11" x14ac:dyDescent="0.2">
      <c r="A245" s="2"/>
      <c r="B245" s="2"/>
      <c r="C245" s="2"/>
      <c r="D245" s="2"/>
      <c r="E245" s="2"/>
      <c r="F245" s="2"/>
      <c r="G245" s="2"/>
      <c r="H245" s="2" t="str">
        <f>IF(B245="","",D245*Paramètres!$B$2+E245*Paramètres!$B$3+F245+G245*(1+Paramètres!$B$5/100))</f>
        <v/>
      </c>
      <c r="I245" s="2"/>
      <c r="J245" s="2" t="str">
        <f>IF(I245="","",I245-(D245*Paramètres!$B$2+E245*Paramètres!$B$3+F245+G245))</f>
        <v/>
      </c>
      <c r="K245" s="2"/>
    </row>
    <row r="246" spans="1:11" x14ac:dyDescent="0.2">
      <c r="A246" s="2"/>
      <c r="B246" s="2"/>
      <c r="C246" s="2"/>
      <c r="D246" s="2"/>
      <c r="E246" s="2"/>
      <c r="F246" s="2"/>
      <c r="G246" s="2"/>
      <c r="H246" s="2" t="str">
        <f>IF(B246="","",D246*Paramètres!$B$2+E246*Paramètres!$B$3+F246+G246*(1+Paramètres!$B$5/100))</f>
        <v/>
      </c>
      <c r="I246" s="2"/>
      <c r="J246" s="2" t="str">
        <f>IF(I246="","",I246-(D246*Paramètres!$B$2+E246*Paramètres!$B$3+F246+G246))</f>
        <v/>
      </c>
      <c r="K246" s="2"/>
    </row>
    <row r="247" spans="1:11" x14ac:dyDescent="0.2">
      <c r="A247" s="2"/>
      <c r="B247" s="2"/>
      <c r="C247" s="2"/>
      <c r="D247" s="2"/>
      <c r="E247" s="2"/>
      <c r="F247" s="2"/>
      <c r="G247" s="2"/>
      <c r="H247" s="2" t="str">
        <f>IF(B247="","",D247*Paramètres!$B$2+E247*Paramètres!$B$3+F247+G247*(1+Paramètres!$B$5/100))</f>
        <v/>
      </c>
      <c r="I247" s="2"/>
      <c r="J247" s="2" t="str">
        <f>IF(I247="","",I247-(D247*Paramètres!$B$2+E247*Paramètres!$B$3+F247+G247))</f>
        <v/>
      </c>
      <c r="K247" s="2"/>
    </row>
    <row r="248" spans="1:11" x14ac:dyDescent="0.2">
      <c r="A248" s="2"/>
      <c r="B248" s="2"/>
      <c r="C248" s="2"/>
      <c r="D248" s="2"/>
      <c r="E248" s="2"/>
      <c r="F248" s="2"/>
      <c r="G248" s="2"/>
      <c r="H248" s="2" t="str">
        <f>IF(B248="","",D248*Paramètres!$B$2+E248*Paramètres!$B$3+F248+G248*(1+Paramètres!$B$5/100))</f>
        <v/>
      </c>
      <c r="I248" s="2"/>
      <c r="J248" s="2" t="str">
        <f>IF(I248="","",I248-(D248*Paramètres!$B$2+E248*Paramètres!$B$3+F248+G248))</f>
        <v/>
      </c>
      <c r="K248" s="2"/>
    </row>
    <row r="249" spans="1:11" x14ac:dyDescent="0.2">
      <c r="A249" s="2"/>
      <c r="B249" s="2"/>
      <c r="C249" s="2"/>
      <c r="D249" s="2"/>
      <c r="E249" s="2"/>
      <c r="F249" s="2"/>
      <c r="G249" s="2"/>
      <c r="H249" s="2" t="str">
        <f>IF(B249="","",D249*Paramètres!$B$2+E249*Paramètres!$B$3+F249+G249*(1+Paramètres!$B$5/100))</f>
        <v/>
      </c>
      <c r="I249" s="2"/>
      <c r="J249" s="2" t="str">
        <f>IF(I249="","",I249-(D249*Paramètres!$B$2+E249*Paramètres!$B$3+F249+G249))</f>
        <v/>
      </c>
      <c r="K249" s="2"/>
    </row>
    <row r="250" spans="1:11" x14ac:dyDescent="0.2">
      <c r="A250" s="2"/>
      <c r="B250" s="2"/>
      <c r="C250" s="2"/>
      <c r="D250" s="2"/>
      <c r="E250" s="2"/>
      <c r="F250" s="2"/>
      <c r="G250" s="2"/>
      <c r="H250" s="2" t="str">
        <f>IF(B250="","",D250*Paramètres!$B$2+E250*Paramètres!$B$3+F250+G250*(1+Paramètres!$B$5/100))</f>
        <v/>
      </c>
      <c r="I250" s="2"/>
      <c r="J250" s="2" t="str">
        <f>IF(I250="","",I250-(D250*Paramètres!$B$2+E250*Paramètres!$B$3+F250+G250))</f>
        <v/>
      </c>
      <c r="K250" s="2"/>
    </row>
    <row r="251" spans="1:11" x14ac:dyDescent="0.2">
      <c r="A251" s="2"/>
      <c r="B251" s="2"/>
      <c r="C251" s="2"/>
      <c r="D251" s="2"/>
      <c r="E251" s="2"/>
      <c r="F251" s="2"/>
      <c r="G251" s="2"/>
      <c r="H251" s="2" t="str">
        <f>IF(B251="","",D251*Paramètres!$B$2+E251*Paramètres!$B$3+F251+G251*(1+Paramètres!$B$5/100))</f>
        <v/>
      </c>
      <c r="I251" s="2"/>
      <c r="J251" s="2" t="str">
        <f>IF(I251="","",I251-(D251*Paramètres!$B$2+E251*Paramètres!$B$3+F251+G251))</f>
        <v/>
      </c>
      <c r="K251" s="2"/>
    </row>
    <row r="252" spans="1:11" x14ac:dyDescent="0.2">
      <c r="A252" s="2"/>
      <c r="B252" s="2"/>
      <c r="C252" s="2"/>
      <c r="D252" s="2"/>
      <c r="E252" s="2"/>
      <c r="F252" s="2"/>
      <c r="G252" s="2"/>
      <c r="H252" s="2" t="str">
        <f>IF(B252="","",D252*Paramètres!$B$2+E252*Paramètres!$B$3+F252+G252*(1+Paramètres!$B$5/100))</f>
        <v/>
      </c>
      <c r="I252" s="2"/>
      <c r="J252" s="2" t="str">
        <f>IF(I252="","",I252-(D252*Paramètres!$B$2+E252*Paramètres!$B$3+F252+G252))</f>
        <v/>
      </c>
      <c r="K252" s="2"/>
    </row>
    <row r="253" spans="1:11" x14ac:dyDescent="0.2">
      <c r="A253" s="2"/>
      <c r="B253" s="2"/>
      <c r="C253" s="2"/>
      <c r="D253" s="2"/>
      <c r="E253" s="2"/>
      <c r="F253" s="2"/>
      <c r="G253" s="2"/>
      <c r="H253" s="2" t="str">
        <f>IF(B253="","",D253*Paramètres!$B$2+E253*Paramètres!$B$3+F253+G253*(1+Paramètres!$B$5/100))</f>
        <v/>
      </c>
      <c r="I253" s="2"/>
      <c r="J253" s="2" t="str">
        <f>IF(I253="","",I253-(D253*Paramètres!$B$2+E253*Paramètres!$B$3+F253+G253))</f>
        <v/>
      </c>
      <c r="K253" s="2"/>
    </row>
    <row r="254" spans="1:11" x14ac:dyDescent="0.2">
      <c r="A254" s="2"/>
      <c r="B254" s="2"/>
      <c r="C254" s="2"/>
      <c r="D254" s="2"/>
      <c r="E254" s="2"/>
      <c r="F254" s="2"/>
      <c r="G254" s="2"/>
      <c r="H254" s="2" t="str">
        <f>IF(B254="","",D254*Paramètres!$B$2+E254*Paramètres!$B$3+F254+G254*(1+Paramètres!$B$5/100))</f>
        <v/>
      </c>
      <c r="I254" s="2"/>
      <c r="J254" s="2" t="str">
        <f>IF(I254="","",I254-(D254*Paramètres!$B$2+E254*Paramètres!$B$3+F254+G254))</f>
        <v/>
      </c>
      <c r="K254" s="2"/>
    </row>
    <row r="255" spans="1:11" x14ac:dyDescent="0.2">
      <c r="A255" s="2"/>
      <c r="B255" s="2"/>
      <c r="C255" s="2"/>
      <c r="D255" s="2"/>
      <c r="E255" s="2"/>
      <c r="F255" s="2"/>
      <c r="G255" s="2"/>
      <c r="H255" s="2" t="str">
        <f>IF(B255="","",D255*Paramètres!$B$2+E255*Paramètres!$B$3+F255+G255*(1+Paramètres!$B$5/100))</f>
        <v/>
      </c>
      <c r="I255" s="2"/>
      <c r="J255" s="2" t="str">
        <f>IF(I255="","",I255-(D255*Paramètres!$B$2+E255*Paramètres!$B$3+F255+G255))</f>
        <v/>
      </c>
      <c r="K255" s="2"/>
    </row>
    <row r="256" spans="1:11" x14ac:dyDescent="0.2">
      <c r="A256" s="2"/>
      <c r="B256" s="2"/>
      <c r="C256" s="2"/>
      <c r="D256" s="2"/>
      <c r="E256" s="2"/>
      <c r="F256" s="2"/>
      <c r="G256" s="2"/>
      <c r="H256" s="2" t="str">
        <f>IF(B256="","",D256*Paramètres!$B$2+E256*Paramètres!$B$3+F256+G256*(1+Paramètres!$B$5/100))</f>
        <v/>
      </c>
      <c r="I256" s="2"/>
      <c r="J256" s="2" t="str">
        <f>IF(I256="","",I256-(D256*Paramètres!$B$2+E256*Paramètres!$B$3+F256+G256))</f>
        <v/>
      </c>
      <c r="K256" s="2"/>
    </row>
    <row r="257" spans="1:11" x14ac:dyDescent="0.2">
      <c r="A257" s="2"/>
      <c r="B257" s="2"/>
      <c r="C257" s="2"/>
      <c r="D257" s="2"/>
      <c r="E257" s="2"/>
      <c r="F257" s="2"/>
      <c r="G257" s="2"/>
      <c r="H257" s="2" t="str">
        <f>IF(B257="","",D257*Paramètres!$B$2+E257*Paramètres!$B$3+F257+G257*(1+Paramètres!$B$5/100))</f>
        <v/>
      </c>
      <c r="I257" s="2"/>
      <c r="J257" s="2" t="str">
        <f>IF(I257="","",I257-(D257*Paramètres!$B$2+E257*Paramètres!$B$3+F257+G257))</f>
        <v/>
      </c>
      <c r="K257" s="2"/>
    </row>
    <row r="258" spans="1:11" x14ac:dyDescent="0.2">
      <c r="A258" s="2"/>
      <c r="B258" s="2"/>
      <c r="C258" s="2"/>
      <c r="D258" s="2"/>
      <c r="E258" s="2"/>
      <c r="F258" s="2"/>
      <c r="G258" s="2"/>
      <c r="H258" s="2" t="str">
        <f>IF(B258="","",D258*Paramètres!$B$2+E258*Paramètres!$B$3+F258+G258*(1+Paramètres!$B$5/100))</f>
        <v/>
      </c>
      <c r="I258" s="2"/>
      <c r="J258" s="2" t="str">
        <f>IF(I258="","",I258-(D258*Paramètres!$B$2+E258*Paramètres!$B$3+F258+G258))</f>
        <v/>
      </c>
      <c r="K258" s="2"/>
    </row>
    <row r="259" spans="1:11" x14ac:dyDescent="0.2">
      <c r="A259" s="2"/>
      <c r="B259" s="2"/>
      <c r="C259" s="2"/>
      <c r="D259" s="2"/>
      <c r="E259" s="2"/>
      <c r="F259" s="2"/>
      <c r="G259" s="2"/>
      <c r="H259" s="2" t="str">
        <f>IF(B259="","",D259*Paramètres!$B$2+E259*Paramètres!$B$3+F259+G259*(1+Paramètres!$B$5/100))</f>
        <v/>
      </c>
      <c r="I259" s="2"/>
      <c r="J259" s="2" t="str">
        <f>IF(I259="","",I259-(D259*Paramètres!$B$2+E259*Paramètres!$B$3+F259+G259))</f>
        <v/>
      </c>
      <c r="K259" s="2"/>
    </row>
    <row r="260" spans="1:11" x14ac:dyDescent="0.2">
      <c r="A260" s="2"/>
      <c r="B260" s="2"/>
      <c r="C260" s="2"/>
      <c r="D260" s="2"/>
      <c r="E260" s="2"/>
      <c r="F260" s="2"/>
      <c r="G260" s="2"/>
      <c r="H260" s="2" t="str">
        <f>IF(B260="","",D260*Paramètres!$B$2+E260*Paramètres!$B$3+F260+G260*(1+Paramètres!$B$5/100))</f>
        <v/>
      </c>
      <c r="I260" s="2"/>
      <c r="J260" s="2" t="str">
        <f>IF(I260="","",I260-(D260*Paramètres!$B$2+E260*Paramètres!$B$3+F260+G260))</f>
        <v/>
      </c>
      <c r="K260" s="2"/>
    </row>
    <row r="261" spans="1:11" x14ac:dyDescent="0.2">
      <c r="A261" s="2"/>
      <c r="B261" s="2"/>
      <c r="C261" s="2"/>
      <c r="D261" s="2"/>
      <c r="E261" s="2"/>
      <c r="F261" s="2"/>
      <c r="G261" s="2"/>
      <c r="H261" s="2" t="str">
        <f>IF(B261="","",D261*Paramètres!$B$2+E261*Paramètres!$B$3+F261+G261*(1+Paramètres!$B$5/100))</f>
        <v/>
      </c>
      <c r="I261" s="2"/>
      <c r="J261" s="2" t="str">
        <f>IF(I261="","",I261-(D261*Paramètres!$B$2+E261*Paramètres!$B$3+F261+G261))</f>
        <v/>
      </c>
      <c r="K261" s="2"/>
    </row>
    <row r="262" spans="1:11" x14ac:dyDescent="0.2">
      <c r="A262" s="2"/>
      <c r="B262" s="2"/>
      <c r="C262" s="2"/>
      <c r="D262" s="2"/>
      <c r="E262" s="2"/>
      <c r="F262" s="2"/>
      <c r="G262" s="2"/>
      <c r="H262" s="2" t="str">
        <f>IF(B262="","",D262*Paramètres!$B$2+E262*Paramètres!$B$3+F262+G262*(1+Paramètres!$B$5/100))</f>
        <v/>
      </c>
      <c r="I262" s="2"/>
      <c r="J262" s="2" t="str">
        <f>IF(I262="","",I262-(D262*Paramètres!$B$2+E262*Paramètres!$B$3+F262+G262))</f>
        <v/>
      </c>
      <c r="K262" s="2"/>
    </row>
    <row r="263" spans="1:11" x14ac:dyDescent="0.2">
      <c r="A263" s="2"/>
      <c r="B263" s="2"/>
      <c r="C263" s="2"/>
      <c r="D263" s="2"/>
      <c r="E263" s="2"/>
      <c r="F263" s="2"/>
      <c r="G263" s="2"/>
      <c r="H263" s="2" t="str">
        <f>IF(B263="","",D263*Paramètres!$B$2+E263*Paramètres!$B$3+F263+G263*(1+Paramètres!$B$5/100))</f>
        <v/>
      </c>
      <c r="I263" s="2"/>
      <c r="J263" s="2" t="str">
        <f>IF(I263="","",I263-(D263*Paramètres!$B$2+E263*Paramètres!$B$3+F263+G263))</f>
        <v/>
      </c>
      <c r="K263" s="2"/>
    </row>
    <row r="264" spans="1:11" x14ac:dyDescent="0.2">
      <c r="A264" s="2"/>
      <c r="B264" s="2"/>
      <c r="C264" s="2"/>
      <c r="D264" s="2"/>
      <c r="E264" s="2"/>
      <c r="F264" s="2"/>
      <c r="G264" s="2"/>
      <c r="H264" s="2" t="str">
        <f>IF(B264="","",D264*Paramètres!$B$2+E264*Paramètres!$B$3+F264+G264*(1+Paramètres!$B$5/100))</f>
        <v/>
      </c>
      <c r="I264" s="2"/>
      <c r="J264" s="2" t="str">
        <f>IF(I264="","",I264-(D264*Paramètres!$B$2+E264*Paramètres!$B$3+F264+G264))</f>
        <v/>
      </c>
      <c r="K264" s="2"/>
    </row>
    <row r="265" spans="1:11" x14ac:dyDescent="0.2">
      <c r="A265" s="2"/>
      <c r="B265" s="2"/>
      <c r="C265" s="2"/>
      <c r="D265" s="2"/>
      <c r="E265" s="2"/>
      <c r="F265" s="2"/>
      <c r="G265" s="2"/>
      <c r="H265" s="2" t="str">
        <f>IF(B265="","",D265*Paramètres!$B$2+E265*Paramètres!$B$3+F265+G265*(1+Paramètres!$B$5/100))</f>
        <v/>
      </c>
      <c r="I265" s="2"/>
      <c r="J265" s="2" t="str">
        <f>IF(I265="","",I265-(D265*Paramètres!$B$2+E265*Paramètres!$B$3+F265+G265))</f>
        <v/>
      </c>
      <c r="K265" s="2"/>
    </row>
    <row r="266" spans="1:11" x14ac:dyDescent="0.2">
      <c r="A266" s="2"/>
      <c r="B266" s="2"/>
      <c r="C266" s="2"/>
      <c r="D266" s="2"/>
      <c r="E266" s="2"/>
      <c r="F266" s="2"/>
      <c r="G266" s="2"/>
      <c r="H266" s="2" t="str">
        <f>IF(B266="","",D266*Paramètres!$B$2+E266*Paramètres!$B$3+F266+G266*(1+Paramètres!$B$5/100))</f>
        <v/>
      </c>
      <c r="I266" s="2"/>
      <c r="J266" s="2" t="str">
        <f>IF(I266="","",I266-(D266*Paramètres!$B$2+E266*Paramètres!$B$3+F266+G266))</f>
        <v/>
      </c>
      <c r="K266" s="2"/>
    </row>
    <row r="267" spans="1:11" x14ac:dyDescent="0.2">
      <c r="A267" s="2"/>
      <c r="B267" s="2"/>
      <c r="C267" s="2"/>
      <c r="D267" s="2"/>
      <c r="E267" s="2"/>
      <c r="F267" s="2"/>
      <c r="G267" s="2"/>
      <c r="H267" s="2" t="str">
        <f>IF(B267="","",D267*Paramètres!$B$2+E267*Paramètres!$B$3+F267+G267*(1+Paramètres!$B$5/100))</f>
        <v/>
      </c>
      <c r="I267" s="2"/>
      <c r="J267" s="2" t="str">
        <f>IF(I267="","",I267-(D267*Paramètres!$B$2+E267*Paramètres!$B$3+F267+G267))</f>
        <v/>
      </c>
      <c r="K267" s="2"/>
    </row>
    <row r="268" spans="1:11" x14ac:dyDescent="0.2">
      <c r="A268" s="2"/>
      <c r="B268" s="2"/>
      <c r="C268" s="2"/>
      <c r="D268" s="2"/>
      <c r="E268" s="2"/>
      <c r="F268" s="2"/>
      <c r="G268" s="2"/>
      <c r="H268" s="2" t="str">
        <f>IF(B268="","",D268*Paramètres!$B$2+E268*Paramètres!$B$3+F268+G268*(1+Paramètres!$B$5/100))</f>
        <v/>
      </c>
      <c r="I268" s="2"/>
      <c r="J268" s="2" t="str">
        <f>IF(I268="","",I268-(D268*Paramètres!$B$2+E268*Paramètres!$B$3+F268+G268))</f>
        <v/>
      </c>
      <c r="K268" s="2"/>
    </row>
    <row r="269" spans="1:11" x14ac:dyDescent="0.2">
      <c r="A269" s="2"/>
      <c r="B269" s="2"/>
      <c r="C269" s="2"/>
      <c r="D269" s="2"/>
      <c r="E269" s="2"/>
      <c r="F269" s="2"/>
      <c r="G269" s="2"/>
      <c r="H269" s="2" t="str">
        <f>IF(B269="","",D269*Paramètres!$B$2+E269*Paramètres!$B$3+F269+G269*(1+Paramètres!$B$5/100))</f>
        <v/>
      </c>
      <c r="I269" s="2"/>
      <c r="J269" s="2" t="str">
        <f>IF(I269="","",I269-(D269*Paramètres!$B$2+E269*Paramètres!$B$3+F269+G269))</f>
        <v/>
      </c>
      <c r="K269" s="2"/>
    </row>
    <row r="270" spans="1:11" x14ac:dyDescent="0.2">
      <c r="A270" s="2"/>
      <c r="B270" s="2"/>
      <c r="C270" s="2"/>
      <c r="D270" s="2"/>
      <c r="E270" s="2"/>
      <c r="F270" s="2"/>
      <c r="G270" s="2"/>
      <c r="H270" s="2" t="str">
        <f>IF(B270="","",D270*Paramètres!$B$2+E270*Paramètres!$B$3+F270+G270*(1+Paramètres!$B$5/100))</f>
        <v/>
      </c>
      <c r="I270" s="2"/>
      <c r="J270" s="2" t="str">
        <f>IF(I270="","",I270-(D270*Paramètres!$B$2+E270*Paramètres!$B$3+F270+G270))</f>
        <v/>
      </c>
      <c r="K270" s="2"/>
    </row>
    <row r="271" spans="1:11" x14ac:dyDescent="0.2">
      <c r="A271" s="2"/>
      <c r="B271" s="2"/>
      <c r="C271" s="2"/>
      <c r="D271" s="2"/>
      <c r="E271" s="2"/>
      <c r="F271" s="2"/>
      <c r="G271" s="2"/>
      <c r="H271" s="2" t="str">
        <f>IF(B271="","",D271*Paramètres!$B$2+E271*Paramètres!$B$3+F271+G271*(1+Paramètres!$B$5/100))</f>
        <v/>
      </c>
      <c r="I271" s="2"/>
      <c r="J271" s="2" t="str">
        <f>IF(I271="","",I271-(D271*Paramètres!$B$2+E271*Paramètres!$B$3+F271+G271))</f>
        <v/>
      </c>
      <c r="K271" s="2"/>
    </row>
    <row r="272" spans="1:11" x14ac:dyDescent="0.2">
      <c r="A272" s="2"/>
      <c r="B272" s="2"/>
      <c r="C272" s="2"/>
      <c r="D272" s="2"/>
      <c r="E272" s="2"/>
      <c r="F272" s="2"/>
      <c r="G272" s="2"/>
      <c r="H272" s="2" t="str">
        <f>IF(B272="","",D272*Paramètres!$B$2+E272*Paramètres!$B$3+F272+G272*(1+Paramètres!$B$5/100))</f>
        <v/>
      </c>
      <c r="I272" s="2"/>
      <c r="J272" s="2" t="str">
        <f>IF(I272="","",I272-(D272*Paramètres!$B$2+E272*Paramètres!$B$3+F272+G272))</f>
        <v/>
      </c>
      <c r="K272" s="2"/>
    </row>
    <row r="273" spans="1:11" x14ac:dyDescent="0.2">
      <c r="A273" s="2"/>
      <c r="B273" s="2"/>
      <c r="C273" s="2"/>
      <c r="D273" s="2"/>
      <c r="E273" s="2"/>
      <c r="F273" s="2"/>
      <c r="G273" s="2"/>
      <c r="H273" s="2" t="str">
        <f>IF(B273="","",D273*Paramètres!$B$2+E273*Paramètres!$B$3+F273+G273*(1+Paramètres!$B$5/100))</f>
        <v/>
      </c>
      <c r="I273" s="2"/>
      <c r="J273" s="2" t="str">
        <f>IF(I273="","",I273-(D273*Paramètres!$B$2+E273*Paramètres!$B$3+F273+G273))</f>
        <v/>
      </c>
      <c r="K273" s="2"/>
    </row>
    <row r="274" spans="1:11" x14ac:dyDescent="0.2">
      <c r="A274" s="2"/>
      <c r="B274" s="2"/>
      <c r="C274" s="2"/>
      <c r="D274" s="2"/>
      <c r="E274" s="2"/>
      <c r="F274" s="2"/>
      <c r="G274" s="2"/>
      <c r="H274" s="2" t="str">
        <f>IF(B274="","",D274*Paramètres!$B$2+E274*Paramètres!$B$3+F274+G274*(1+Paramètres!$B$5/100))</f>
        <v/>
      </c>
      <c r="I274" s="2"/>
      <c r="J274" s="2" t="str">
        <f>IF(I274="","",I274-(D274*Paramètres!$B$2+E274*Paramètres!$B$3+F274+G274))</f>
        <v/>
      </c>
      <c r="K274" s="2"/>
    </row>
    <row r="275" spans="1:11" x14ac:dyDescent="0.2">
      <c r="A275" s="2"/>
      <c r="B275" s="2"/>
      <c r="C275" s="2"/>
      <c r="D275" s="2"/>
      <c r="E275" s="2"/>
      <c r="F275" s="2"/>
      <c r="G275" s="2"/>
      <c r="H275" s="2" t="str">
        <f>IF(B275="","",D275*Paramètres!$B$2+E275*Paramètres!$B$3+F275+G275*(1+Paramètres!$B$5/100))</f>
        <v/>
      </c>
      <c r="I275" s="2"/>
      <c r="J275" s="2" t="str">
        <f>IF(I275="","",I275-(D275*Paramètres!$B$2+E275*Paramètres!$B$3+F275+G275))</f>
        <v/>
      </c>
      <c r="K275" s="2"/>
    </row>
    <row r="276" spans="1:11" x14ac:dyDescent="0.2">
      <c r="A276" s="2"/>
      <c r="B276" s="2"/>
      <c r="C276" s="2"/>
      <c r="D276" s="2"/>
      <c r="E276" s="2"/>
      <c r="F276" s="2"/>
      <c r="G276" s="2"/>
      <c r="H276" s="2" t="str">
        <f>IF(B276="","",D276*Paramètres!$B$2+E276*Paramètres!$B$3+F276+G276*(1+Paramètres!$B$5/100))</f>
        <v/>
      </c>
      <c r="I276" s="2"/>
      <c r="J276" s="2" t="str">
        <f>IF(I276="","",I276-(D276*Paramètres!$B$2+E276*Paramètres!$B$3+F276+G276))</f>
        <v/>
      </c>
      <c r="K276" s="2"/>
    </row>
    <row r="277" spans="1:11" x14ac:dyDescent="0.2">
      <c r="A277" s="2"/>
      <c r="B277" s="2"/>
      <c r="C277" s="2"/>
      <c r="D277" s="2"/>
      <c r="E277" s="2"/>
      <c r="F277" s="2"/>
      <c r="G277" s="2"/>
      <c r="H277" s="2" t="str">
        <f>IF(B277="","",D277*Paramètres!$B$2+E277*Paramètres!$B$3+F277+G277*(1+Paramètres!$B$5/100))</f>
        <v/>
      </c>
      <c r="I277" s="2"/>
      <c r="J277" s="2" t="str">
        <f>IF(I277="","",I277-(D277*Paramètres!$B$2+E277*Paramètres!$B$3+F277+G277))</f>
        <v/>
      </c>
      <c r="K277" s="2"/>
    </row>
    <row r="278" spans="1:11" x14ac:dyDescent="0.2">
      <c r="A278" s="2"/>
      <c r="B278" s="2"/>
      <c r="C278" s="2"/>
      <c r="D278" s="2"/>
      <c r="E278" s="2"/>
      <c r="F278" s="2"/>
      <c r="G278" s="2"/>
      <c r="H278" s="2" t="str">
        <f>IF(B278="","",D278*Paramètres!$B$2+E278*Paramètres!$B$3+F278+G278*(1+Paramètres!$B$5/100))</f>
        <v/>
      </c>
      <c r="I278" s="2"/>
      <c r="J278" s="2" t="str">
        <f>IF(I278="","",I278-(D278*Paramètres!$B$2+E278*Paramètres!$B$3+F278+G278))</f>
        <v/>
      </c>
      <c r="K278" s="2"/>
    </row>
    <row r="279" spans="1:11" x14ac:dyDescent="0.2">
      <c r="A279" s="2"/>
      <c r="B279" s="2"/>
      <c r="C279" s="2"/>
      <c r="D279" s="2"/>
      <c r="E279" s="2"/>
      <c r="F279" s="2"/>
      <c r="G279" s="2"/>
      <c r="H279" s="2" t="str">
        <f>IF(B279="","",D279*Paramètres!$B$2+E279*Paramètres!$B$3+F279+G279*(1+Paramètres!$B$5/100))</f>
        <v/>
      </c>
      <c r="I279" s="2"/>
      <c r="J279" s="2" t="str">
        <f>IF(I279="","",I279-(D279*Paramètres!$B$2+E279*Paramètres!$B$3+F279+G279))</f>
        <v/>
      </c>
      <c r="K279" s="2"/>
    </row>
    <row r="280" spans="1:11" x14ac:dyDescent="0.2">
      <c r="A280" s="2"/>
      <c r="B280" s="2"/>
      <c r="C280" s="2"/>
      <c r="D280" s="2"/>
      <c r="E280" s="2"/>
      <c r="F280" s="2"/>
      <c r="G280" s="2"/>
      <c r="H280" s="2" t="str">
        <f>IF(B280="","",D280*Paramètres!$B$2+E280*Paramètres!$B$3+F280+G280*(1+Paramètres!$B$5/100))</f>
        <v/>
      </c>
      <c r="I280" s="2"/>
      <c r="J280" s="2" t="str">
        <f>IF(I280="","",I280-(D280*Paramètres!$B$2+E280*Paramètres!$B$3+F280+G280))</f>
        <v/>
      </c>
      <c r="K280" s="2"/>
    </row>
    <row r="281" spans="1:11" x14ac:dyDescent="0.2">
      <c r="A281" s="2"/>
      <c r="B281" s="2"/>
      <c r="C281" s="2"/>
      <c r="D281" s="2"/>
      <c r="E281" s="2"/>
      <c r="F281" s="2"/>
      <c r="G281" s="2"/>
      <c r="H281" s="2" t="str">
        <f>IF(B281="","",D281*Paramètres!$B$2+E281*Paramètres!$B$3+F281+G281*(1+Paramètres!$B$5/100))</f>
        <v/>
      </c>
      <c r="I281" s="2"/>
      <c r="J281" s="2" t="str">
        <f>IF(I281="","",I281-(D281*Paramètres!$B$2+E281*Paramètres!$B$3+F281+G281))</f>
        <v/>
      </c>
      <c r="K281" s="2"/>
    </row>
    <row r="282" spans="1:11" x14ac:dyDescent="0.2">
      <c r="A282" s="2"/>
      <c r="B282" s="2"/>
      <c r="C282" s="2"/>
      <c r="D282" s="2"/>
      <c r="E282" s="2"/>
      <c r="F282" s="2"/>
      <c r="G282" s="2"/>
      <c r="H282" s="2" t="str">
        <f>IF(B282="","",D282*Paramètres!$B$2+E282*Paramètres!$B$3+F282+G282*(1+Paramètres!$B$5/100))</f>
        <v/>
      </c>
      <c r="I282" s="2"/>
      <c r="J282" s="2" t="str">
        <f>IF(I282="","",I282-(D282*Paramètres!$B$2+E282*Paramètres!$B$3+F282+G282))</f>
        <v/>
      </c>
      <c r="K282" s="2"/>
    </row>
    <row r="283" spans="1:11" x14ac:dyDescent="0.2">
      <c r="A283" s="2"/>
      <c r="B283" s="2"/>
      <c r="C283" s="2"/>
      <c r="D283" s="2"/>
      <c r="E283" s="2"/>
      <c r="F283" s="2"/>
      <c r="G283" s="2"/>
      <c r="H283" s="2" t="str">
        <f>IF(B283="","",D283*Paramètres!$B$2+E283*Paramètres!$B$3+F283+G283*(1+Paramètres!$B$5/100))</f>
        <v/>
      </c>
      <c r="I283" s="2"/>
      <c r="J283" s="2" t="str">
        <f>IF(I283="","",I283-(D283*Paramètres!$B$2+E283*Paramètres!$B$3+F283+G283))</f>
        <v/>
      </c>
      <c r="K283" s="2"/>
    </row>
    <row r="284" spans="1:11" x14ac:dyDescent="0.2">
      <c r="A284" s="2"/>
      <c r="B284" s="2"/>
      <c r="C284" s="2"/>
      <c r="D284" s="2"/>
      <c r="E284" s="2"/>
      <c r="F284" s="2"/>
      <c r="G284" s="2"/>
      <c r="H284" s="2" t="str">
        <f>IF(B284="","",D284*Paramètres!$B$2+E284*Paramètres!$B$3+F284+G284*(1+Paramètres!$B$5/100))</f>
        <v/>
      </c>
      <c r="I284" s="2"/>
      <c r="J284" s="2" t="str">
        <f>IF(I284="","",I284-(D284*Paramètres!$B$2+E284*Paramètres!$B$3+F284+G284))</f>
        <v/>
      </c>
      <c r="K284" s="2"/>
    </row>
    <row r="285" spans="1:11" x14ac:dyDescent="0.2">
      <c r="A285" s="2"/>
      <c r="B285" s="2"/>
      <c r="C285" s="2"/>
      <c r="D285" s="2"/>
      <c r="E285" s="2"/>
      <c r="F285" s="2"/>
      <c r="G285" s="2"/>
      <c r="H285" s="2" t="str">
        <f>IF(B285="","",D285*Paramètres!$B$2+E285*Paramètres!$B$3+F285+G285*(1+Paramètres!$B$5/100))</f>
        <v/>
      </c>
      <c r="I285" s="2"/>
      <c r="J285" s="2" t="str">
        <f>IF(I285="","",I285-(D285*Paramètres!$B$2+E285*Paramètres!$B$3+F285+G285))</f>
        <v/>
      </c>
      <c r="K285" s="2"/>
    </row>
    <row r="286" spans="1:11" x14ac:dyDescent="0.2">
      <c r="A286" s="2"/>
      <c r="B286" s="2"/>
      <c r="C286" s="2"/>
      <c r="D286" s="2"/>
      <c r="E286" s="2"/>
      <c r="F286" s="2"/>
      <c r="G286" s="2"/>
      <c r="H286" s="2" t="str">
        <f>IF(B286="","",D286*Paramètres!$B$2+E286*Paramètres!$B$3+F286+G286*(1+Paramètres!$B$5/100))</f>
        <v/>
      </c>
      <c r="I286" s="2"/>
      <c r="J286" s="2" t="str">
        <f>IF(I286="","",I286-(D286*Paramètres!$B$2+E286*Paramètres!$B$3+F286+G286))</f>
        <v/>
      </c>
      <c r="K286" s="2"/>
    </row>
    <row r="287" spans="1:11" x14ac:dyDescent="0.2">
      <c r="A287" s="2"/>
      <c r="B287" s="2"/>
      <c r="C287" s="2"/>
      <c r="D287" s="2"/>
      <c r="E287" s="2"/>
      <c r="F287" s="2"/>
      <c r="G287" s="2"/>
      <c r="H287" s="2" t="str">
        <f>IF(B287="","",D287*Paramètres!$B$2+E287*Paramètres!$B$3+F287+G287*(1+Paramètres!$B$5/100))</f>
        <v/>
      </c>
      <c r="I287" s="2"/>
      <c r="J287" s="2" t="str">
        <f>IF(I287="","",I287-(D287*Paramètres!$B$2+E287*Paramètres!$B$3+F287+G287))</f>
        <v/>
      </c>
      <c r="K287" s="2"/>
    </row>
    <row r="288" spans="1:11" x14ac:dyDescent="0.2">
      <c r="A288" s="2"/>
      <c r="B288" s="2"/>
      <c r="C288" s="2"/>
      <c r="D288" s="2"/>
      <c r="E288" s="2"/>
      <c r="F288" s="2"/>
      <c r="G288" s="2"/>
      <c r="H288" s="2" t="str">
        <f>IF(B288="","",D288*Paramètres!$B$2+E288*Paramètres!$B$3+F288+G288*(1+Paramètres!$B$5/100))</f>
        <v/>
      </c>
      <c r="I288" s="2"/>
      <c r="J288" s="2" t="str">
        <f>IF(I288="","",I288-(D288*Paramètres!$B$2+E288*Paramètres!$B$3+F288+G288))</f>
        <v/>
      </c>
      <c r="K288" s="2"/>
    </row>
    <row r="289" spans="1:11" x14ac:dyDescent="0.2">
      <c r="A289" s="2"/>
      <c r="B289" s="2"/>
      <c r="C289" s="2"/>
      <c r="D289" s="2"/>
      <c r="E289" s="2"/>
      <c r="F289" s="2"/>
      <c r="G289" s="2"/>
      <c r="H289" s="2" t="str">
        <f>IF(B289="","",D289*Paramètres!$B$2+E289*Paramètres!$B$3+F289+G289*(1+Paramètres!$B$5/100))</f>
        <v/>
      </c>
      <c r="I289" s="2"/>
      <c r="J289" s="2" t="str">
        <f>IF(I289="","",I289-(D289*Paramètres!$B$2+E289*Paramètres!$B$3+F289+G289))</f>
        <v/>
      </c>
      <c r="K289" s="2"/>
    </row>
    <row r="290" spans="1:11" x14ac:dyDescent="0.2">
      <c r="A290" s="2"/>
      <c r="B290" s="2"/>
      <c r="C290" s="2"/>
      <c r="D290" s="2"/>
      <c r="E290" s="2"/>
      <c r="F290" s="2"/>
      <c r="G290" s="2"/>
      <c r="H290" s="2" t="str">
        <f>IF(B290="","",D290*Paramètres!$B$2+E290*Paramètres!$B$3+F290+G290*(1+Paramètres!$B$5/100))</f>
        <v/>
      </c>
      <c r="I290" s="2"/>
      <c r="J290" s="2" t="str">
        <f>IF(I290="","",I290-(D290*Paramètres!$B$2+E290*Paramètres!$B$3+F290+G290))</f>
        <v/>
      </c>
      <c r="K290" s="2"/>
    </row>
    <row r="291" spans="1:11" x14ac:dyDescent="0.2">
      <c r="A291" s="2"/>
      <c r="B291" s="2"/>
      <c r="C291" s="2"/>
      <c r="D291" s="2"/>
      <c r="E291" s="2"/>
      <c r="F291" s="2"/>
      <c r="G291" s="2"/>
      <c r="H291" s="2" t="str">
        <f>IF(B291="","",D291*Paramètres!$B$2+E291*Paramètres!$B$3+F291+G291*(1+Paramètres!$B$5/100))</f>
        <v/>
      </c>
      <c r="I291" s="2"/>
      <c r="J291" s="2" t="str">
        <f>IF(I291="","",I291-(D291*Paramètres!$B$2+E291*Paramètres!$B$3+F291+G291))</f>
        <v/>
      </c>
      <c r="K291" s="2"/>
    </row>
    <row r="292" spans="1:11" x14ac:dyDescent="0.2">
      <c r="A292" s="2"/>
      <c r="B292" s="2"/>
      <c r="C292" s="2"/>
      <c r="D292" s="2"/>
      <c r="E292" s="2"/>
      <c r="F292" s="2"/>
      <c r="G292" s="2"/>
      <c r="H292" s="2" t="str">
        <f>IF(B292="","",D292*Paramètres!$B$2+E292*Paramètres!$B$3+F292+G292*(1+Paramètres!$B$5/100))</f>
        <v/>
      </c>
      <c r="I292" s="2"/>
      <c r="J292" s="2" t="str">
        <f>IF(I292="","",I292-(D292*Paramètres!$B$2+E292*Paramètres!$B$3+F292+G292))</f>
        <v/>
      </c>
      <c r="K292" s="2"/>
    </row>
    <row r="293" spans="1:11" x14ac:dyDescent="0.2">
      <c r="A293" s="2"/>
      <c r="B293" s="2"/>
      <c r="C293" s="2"/>
      <c r="D293" s="2"/>
      <c r="E293" s="2"/>
      <c r="F293" s="2"/>
      <c r="G293" s="2"/>
      <c r="H293" s="2" t="str">
        <f>IF(B293="","",D293*Paramètres!$B$2+E293*Paramètres!$B$3+F293+G293*(1+Paramètres!$B$5/100))</f>
        <v/>
      </c>
      <c r="I293" s="2"/>
      <c r="J293" s="2" t="str">
        <f>IF(I293="","",I293-(D293*Paramètres!$B$2+E293*Paramètres!$B$3+F293+G293))</f>
        <v/>
      </c>
      <c r="K293" s="2"/>
    </row>
    <row r="294" spans="1:11" x14ac:dyDescent="0.2">
      <c r="A294" s="2"/>
      <c r="B294" s="2"/>
      <c r="C294" s="2"/>
      <c r="D294" s="2"/>
      <c r="E294" s="2"/>
      <c r="F294" s="2"/>
      <c r="G294" s="2"/>
      <c r="H294" s="2" t="str">
        <f>IF(B294="","",D294*Paramètres!$B$2+E294*Paramètres!$B$3+F294+G294*(1+Paramètres!$B$5/100))</f>
        <v/>
      </c>
      <c r="I294" s="2"/>
      <c r="J294" s="2" t="str">
        <f>IF(I294="","",I294-(D294*Paramètres!$B$2+E294*Paramètres!$B$3+F294+G294))</f>
        <v/>
      </c>
      <c r="K294" s="2"/>
    </row>
    <row r="295" spans="1:11" x14ac:dyDescent="0.2">
      <c r="A295" s="2"/>
      <c r="B295" s="2"/>
      <c r="C295" s="2"/>
      <c r="D295" s="2"/>
      <c r="E295" s="2"/>
      <c r="F295" s="2"/>
      <c r="G295" s="2"/>
      <c r="H295" s="2" t="str">
        <f>IF(B295="","",D295*Paramètres!$B$2+E295*Paramètres!$B$3+F295+G295*(1+Paramètres!$B$5/100))</f>
        <v/>
      </c>
      <c r="I295" s="2"/>
      <c r="J295" s="2" t="str">
        <f>IF(I295="","",I295-(D295*Paramètres!$B$2+E295*Paramètres!$B$3+F295+G295))</f>
        <v/>
      </c>
      <c r="K295" s="2"/>
    </row>
    <row r="296" spans="1:11" x14ac:dyDescent="0.2">
      <c r="A296" s="2"/>
      <c r="B296" s="2"/>
      <c r="C296" s="2"/>
      <c r="D296" s="2"/>
      <c r="E296" s="2"/>
      <c r="F296" s="2"/>
      <c r="G296" s="2"/>
      <c r="H296" s="2" t="str">
        <f>IF(B296="","",D296*Paramètres!$B$2+E296*Paramètres!$B$3+F296+G296*(1+Paramètres!$B$5/100))</f>
        <v/>
      </c>
      <c r="I296" s="2"/>
      <c r="J296" s="2" t="str">
        <f>IF(I296="","",I296-(D296*Paramètres!$B$2+E296*Paramètres!$B$3+F296+G296))</f>
        <v/>
      </c>
      <c r="K296" s="2"/>
    </row>
    <row r="297" spans="1:11" x14ac:dyDescent="0.2">
      <c r="A297" s="2"/>
      <c r="B297" s="2"/>
      <c r="C297" s="2"/>
      <c r="D297" s="2"/>
      <c r="E297" s="2"/>
      <c r="F297" s="2"/>
      <c r="G297" s="2"/>
      <c r="H297" s="2" t="str">
        <f>IF(B297="","",D297*Paramètres!$B$2+E297*Paramètres!$B$3+F297+G297*(1+Paramètres!$B$5/100))</f>
        <v/>
      </c>
      <c r="I297" s="2"/>
      <c r="J297" s="2" t="str">
        <f>IF(I297="","",I297-(D297*Paramètres!$B$2+E297*Paramètres!$B$3+F297+G297))</f>
        <v/>
      </c>
      <c r="K297" s="2"/>
    </row>
    <row r="298" spans="1:11" x14ac:dyDescent="0.2">
      <c r="A298" s="2"/>
      <c r="B298" s="2"/>
      <c r="C298" s="2"/>
      <c r="D298" s="2"/>
      <c r="E298" s="2"/>
      <c r="F298" s="2"/>
      <c r="G298" s="2"/>
      <c r="H298" s="2" t="str">
        <f>IF(B298="","",D298*Paramètres!$B$2+E298*Paramètres!$B$3+F298+G298*(1+Paramètres!$B$5/100))</f>
        <v/>
      </c>
      <c r="I298" s="2"/>
      <c r="J298" s="2" t="str">
        <f>IF(I298="","",I298-(D298*Paramètres!$B$2+E298*Paramètres!$B$3+F298+G298))</f>
        <v/>
      </c>
      <c r="K298" s="2"/>
    </row>
    <row r="299" spans="1:11" x14ac:dyDescent="0.2">
      <c r="A299" s="2"/>
      <c r="B299" s="2"/>
      <c r="C299" s="2"/>
      <c r="D299" s="2"/>
      <c r="E299" s="2"/>
      <c r="F299" s="2"/>
      <c r="G299" s="2"/>
      <c r="H299" s="2" t="str">
        <f>IF(B299="","",D299*Paramètres!$B$2+E299*Paramètres!$B$3+F299+G299*(1+Paramètres!$B$5/100))</f>
        <v/>
      </c>
      <c r="I299" s="2"/>
      <c r="J299" s="2" t="str">
        <f>IF(I299="","",I299-(D299*Paramètres!$B$2+E299*Paramètres!$B$3+F299+G299))</f>
        <v/>
      </c>
      <c r="K299" s="2"/>
    </row>
    <row r="300" spans="1:11" x14ac:dyDescent="0.2">
      <c r="A300" s="2"/>
      <c r="B300" s="2"/>
      <c r="C300" s="2"/>
      <c r="D300" s="2"/>
      <c r="E300" s="2"/>
      <c r="F300" s="2"/>
      <c r="G300" s="2"/>
      <c r="H300" s="2" t="str">
        <f>IF(B300="","",D300*Paramètres!$B$2+E300*Paramètres!$B$3+F300+G300*(1+Paramètres!$B$5/100))</f>
        <v/>
      </c>
      <c r="I300" s="2"/>
      <c r="J300" s="2" t="str">
        <f>IF(I300="","",I300-(D300*Paramètres!$B$2+E300*Paramètres!$B$3+F300+G300))</f>
        <v/>
      </c>
      <c r="K300" s="2"/>
    </row>
    <row r="301" spans="1:11" x14ac:dyDescent="0.2">
      <c r="A301" s="2"/>
      <c r="B301" s="2"/>
      <c r="C301" s="2"/>
      <c r="D301" s="2"/>
      <c r="E301" s="2"/>
      <c r="F301" s="2"/>
      <c r="G301" s="2"/>
      <c r="H301" s="2" t="str">
        <f>IF(B301="","",D301*Paramètres!$B$2+E301*Paramètres!$B$3+F301+G301*(1+Paramètres!$B$5/100))</f>
        <v/>
      </c>
      <c r="I301" s="2"/>
      <c r="J301" s="2" t="str">
        <f>IF(I301="","",I301-(D301*Paramètres!$B$2+E301*Paramètres!$B$3+F301+G301))</f>
        <v/>
      </c>
      <c r="K301" s="2"/>
    </row>
    <row r="302" spans="1:11" x14ac:dyDescent="0.2">
      <c r="A302" s="2"/>
      <c r="B302" s="2"/>
      <c r="C302" s="2"/>
      <c r="D302" s="2"/>
      <c r="E302" s="2"/>
      <c r="F302" s="2"/>
      <c r="G302" s="2"/>
      <c r="H302" s="2" t="str">
        <f>IF(B302="","",D302*Paramètres!$B$2+E302*Paramètres!$B$3+F302+G302*(1+Paramètres!$B$5/100))</f>
        <v/>
      </c>
      <c r="I302" s="2"/>
      <c r="J302" s="2" t="str">
        <f>IF(I302="","",I302-(D302*Paramètres!$B$2+E302*Paramètres!$B$3+F302+G302))</f>
        <v/>
      </c>
      <c r="K302" s="2"/>
    </row>
    <row r="303" spans="1:11" x14ac:dyDescent="0.2">
      <c r="A303" s="2"/>
      <c r="B303" s="2"/>
      <c r="C303" s="2"/>
      <c r="D303" s="2"/>
      <c r="E303" s="2"/>
      <c r="F303" s="2"/>
      <c r="G303" s="2"/>
      <c r="H303" s="2" t="str">
        <f>IF(B303="","",D303*Paramètres!$B$2+E303*Paramètres!$B$3+F303+G303*(1+Paramètres!$B$5/100))</f>
        <v/>
      </c>
      <c r="I303" s="2"/>
      <c r="J303" s="2" t="str">
        <f>IF(I303="","",I303-(D303*Paramètres!$B$2+E303*Paramètres!$B$3+F303+G303))</f>
        <v/>
      </c>
      <c r="K303" s="2"/>
    </row>
    <row r="304" spans="1:11" x14ac:dyDescent="0.2">
      <c r="A304" s="2"/>
      <c r="B304" s="2"/>
      <c r="C304" s="2"/>
      <c r="D304" s="2"/>
      <c r="E304" s="2"/>
      <c r="F304" s="2"/>
      <c r="G304" s="2"/>
      <c r="H304" s="2" t="str">
        <f>IF(B304="","",D304*Paramètres!$B$2+E304*Paramètres!$B$3+F304+G304*(1+Paramètres!$B$5/100))</f>
        <v/>
      </c>
      <c r="I304" s="2"/>
      <c r="J304" s="2" t="str">
        <f>IF(I304="","",I304-(D304*Paramètres!$B$2+E304*Paramètres!$B$3+F304+G304))</f>
        <v/>
      </c>
      <c r="K304" s="2"/>
    </row>
    <row r="305" spans="1:11" x14ac:dyDescent="0.2">
      <c r="A305" s="2"/>
      <c r="B305" s="2"/>
      <c r="C305" s="2"/>
      <c r="D305" s="2"/>
      <c r="E305" s="2"/>
      <c r="F305" s="2"/>
      <c r="G305" s="2"/>
      <c r="H305" s="2" t="str">
        <f>IF(B305="","",D305*Paramètres!$B$2+E305*Paramètres!$B$3+F305+G305*(1+Paramètres!$B$5/100))</f>
        <v/>
      </c>
      <c r="I305" s="2"/>
      <c r="J305" s="2" t="str">
        <f>IF(I305="","",I305-(D305*Paramètres!$B$2+E305*Paramètres!$B$3+F305+G305))</f>
        <v/>
      </c>
      <c r="K305" s="2"/>
    </row>
    <row r="306" spans="1:11" x14ac:dyDescent="0.2">
      <c r="A306" s="2"/>
      <c r="B306" s="2"/>
      <c r="C306" s="2"/>
      <c r="D306" s="2"/>
      <c r="E306" s="2"/>
      <c r="F306" s="2"/>
      <c r="G306" s="2"/>
      <c r="H306" s="2" t="str">
        <f>IF(B306="","",D306*Paramètres!$B$2+E306*Paramètres!$B$3+F306+G306*(1+Paramètres!$B$5/100))</f>
        <v/>
      </c>
      <c r="I306" s="2"/>
      <c r="J306" s="2" t="str">
        <f>IF(I306="","",I306-(D306*Paramètres!$B$2+E306*Paramètres!$B$3+F306+G306))</f>
        <v/>
      </c>
      <c r="K306" s="2"/>
    </row>
    <row r="307" spans="1:11" x14ac:dyDescent="0.2">
      <c r="A307" s="2"/>
      <c r="B307" s="2"/>
      <c r="C307" s="2"/>
      <c r="D307" s="2"/>
      <c r="E307" s="2"/>
      <c r="F307" s="2"/>
      <c r="G307" s="2"/>
      <c r="H307" s="2" t="str">
        <f>IF(B307="","",D307*Paramètres!$B$2+E307*Paramètres!$B$3+F307+G307*(1+Paramètres!$B$5/100))</f>
        <v/>
      </c>
      <c r="I307" s="2"/>
      <c r="J307" s="2" t="str">
        <f>IF(I307="","",I307-(D307*Paramètres!$B$2+E307*Paramètres!$B$3+F307+G307))</f>
        <v/>
      </c>
      <c r="K307" s="2"/>
    </row>
    <row r="308" spans="1:11" x14ac:dyDescent="0.2">
      <c r="A308" s="2"/>
      <c r="B308" s="2"/>
      <c r="C308" s="2"/>
      <c r="D308" s="2"/>
      <c r="E308" s="2"/>
      <c r="F308" s="2"/>
      <c r="G308" s="2"/>
      <c r="H308" s="2" t="str">
        <f>IF(B308="","",D308*Paramètres!$B$2+E308*Paramètres!$B$3+F308+G308*(1+Paramètres!$B$5/100))</f>
        <v/>
      </c>
      <c r="I308" s="2"/>
      <c r="J308" s="2" t="str">
        <f>IF(I308="","",I308-(D308*Paramètres!$B$2+E308*Paramètres!$B$3+F308+G308))</f>
        <v/>
      </c>
      <c r="K308" s="2"/>
    </row>
    <row r="309" spans="1:11" x14ac:dyDescent="0.2">
      <c r="A309" s="2"/>
      <c r="B309" s="2"/>
      <c r="C309" s="2"/>
      <c r="D309" s="2"/>
      <c r="E309" s="2"/>
      <c r="F309" s="2"/>
      <c r="G309" s="2"/>
      <c r="H309" s="2" t="str">
        <f>IF(B309="","",D309*Paramètres!$B$2+E309*Paramètres!$B$3+F309+G309*(1+Paramètres!$B$5/100))</f>
        <v/>
      </c>
      <c r="I309" s="2"/>
      <c r="J309" s="2" t="str">
        <f>IF(I309="","",I309-(D309*Paramètres!$B$2+E309*Paramètres!$B$3+F309+G309))</f>
        <v/>
      </c>
      <c r="K309" s="2"/>
    </row>
    <row r="310" spans="1:11" x14ac:dyDescent="0.2">
      <c r="A310" s="2"/>
      <c r="B310" s="2"/>
      <c r="C310" s="2"/>
      <c r="D310" s="2"/>
      <c r="E310" s="2"/>
      <c r="F310" s="2"/>
      <c r="G310" s="2"/>
      <c r="H310" s="2" t="str">
        <f>IF(B310="","",D310*Paramètres!$B$2+E310*Paramètres!$B$3+F310+G310*(1+Paramètres!$B$5/100))</f>
        <v/>
      </c>
      <c r="I310" s="2"/>
      <c r="J310" s="2" t="str">
        <f>IF(I310="","",I310-(D310*Paramètres!$B$2+E310*Paramètres!$B$3+F310+G310))</f>
        <v/>
      </c>
      <c r="K310" s="2"/>
    </row>
    <row r="311" spans="1:11" x14ac:dyDescent="0.2">
      <c r="A311" s="2"/>
      <c r="B311" s="2"/>
      <c r="C311" s="2"/>
      <c r="D311" s="2"/>
      <c r="E311" s="2"/>
      <c r="F311" s="2"/>
      <c r="G311" s="2"/>
      <c r="H311" s="2" t="str">
        <f>IF(B311="","",D311*Paramètres!$B$2+E311*Paramètres!$B$3+F311+G311*(1+Paramètres!$B$5/100))</f>
        <v/>
      </c>
      <c r="I311" s="2"/>
      <c r="J311" s="2" t="str">
        <f>IF(I311="","",I311-(D311*Paramètres!$B$2+E311*Paramètres!$B$3+F311+G311))</f>
        <v/>
      </c>
      <c r="K311" s="2"/>
    </row>
    <row r="312" spans="1:11" x14ac:dyDescent="0.2">
      <c r="A312" s="2"/>
      <c r="B312" s="2"/>
      <c r="C312" s="2"/>
      <c r="D312" s="2"/>
      <c r="E312" s="2"/>
      <c r="F312" s="2"/>
      <c r="G312" s="2"/>
      <c r="H312" s="2" t="str">
        <f>IF(B312="","",D312*Paramètres!$B$2+E312*Paramètres!$B$3+F312+G312*(1+Paramètres!$B$5/100))</f>
        <v/>
      </c>
      <c r="I312" s="2"/>
      <c r="J312" s="2" t="str">
        <f>IF(I312="","",I312-(D312*Paramètres!$B$2+E312*Paramètres!$B$3+F312+G312))</f>
        <v/>
      </c>
      <c r="K312" s="2"/>
    </row>
    <row r="313" spans="1:11" x14ac:dyDescent="0.2">
      <c r="A313" s="2"/>
      <c r="B313" s="2"/>
      <c r="C313" s="2"/>
      <c r="D313" s="2"/>
      <c r="E313" s="2"/>
      <c r="F313" s="2"/>
      <c r="G313" s="2"/>
      <c r="H313" s="2" t="str">
        <f>IF(B313="","",D313*Paramètres!$B$2+E313*Paramètres!$B$3+F313+G313*(1+Paramètres!$B$5/100))</f>
        <v/>
      </c>
      <c r="I313" s="2"/>
      <c r="J313" s="2" t="str">
        <f>IF(I313="","",I313-(D313*Paramètres!$B$2+E313*Paramètres!$B$3+F313+G313))</f>
        <v/>
      </c>
      <c r="K313" s="2"/>
    </row>
    <row r="314" spans="1:11" x14ac:dyDescent="0.2">
      <c r="A314" s="2"/>
      <c r="B314" s="2"/>
      <c r="C314" s="2"/>
      <c r="D314" s="2"/>
      <c r="E314" s="2"/>
      <c r="F314" s="2"/>
      <c r="G314" s="2"/>
      <c r="H314" s="2" t="str">
        <f>IF(B314="","",D314*Paramètres!$B$2+E314*Paramètres!$B$3+F314+G314*(1+Paramètres!$B$5/100))</f>
        <v/>
      </c>
      <c r="I314" s="2"/>
      <c r="J314" s="2" t="str">
        <f>IF(I314="","",I314-(D314*Paramètres!$B$2+E314*Paramètres!$B$3+F314+G314))</f>
        <v/>
      </c>
      <c r="K314" s="2"/>
    </row>
    <row r="315" spans="1:11" x14ac:dyDescent="0.2">
      <c r="A315" s="2"/>
      <c r="B315" s="2"/>
      <c r="C315" s="2"/>
      <c r="D315" s="2"/>
      <c r="E315" s="2"/>
      <c r="F315" s="2"/>
      <c r="G315" s="2"/>
      <c r="H315" s="2" t="str">
        <f>IF(B315="","",D315*Paramètres!$B$2+E315*Paramètres!$B$3+F315+G315*(1+Paramètres!$B$5/100))</f>
        <v/>
      </c>
      <c r="I315" s="2"/>
      <c r="J315" s="2" t="str">
        <f>IF(I315="","",I315-(D315*Paramètres!$B$2+E315*Paramètres!$B$3+F315+G315))</f>
        <v/>
      </c>
      <c r="K315" s="2"/>
    </row>
    <row r="316" spans="1:11" x14ac:dyDescent="0.2">
      <c r="A316" s="2"/>
      <c r="B316" s="2"/>
      <c r="C316" s="2"/>
      <c r="D316" s="2"/>
      <c r="E316" s="2"/>
      <c r="F316" s="2"/>
      <c r="G316" s="2"/>
      <c r="H316" s="2" t="str">
        <f>IF(B316="","",D316*Paramètres!$B$2+E316*Paramètres!$B$3+F316+G316*(1+Paramètres!$B$5/100))</f>
        <v/>
      </c>
      <c r="I316" s="2"/>
      <c r="J316" s="2" t="str">
        <f>IF(I316="","",I316-(D316*Paramètres!$B$2+E316*Paramètres!$B$3+F316+G316))</f>
        <v/>
      </c>
      <c r="K316" s="2"/>
    </row>
    <row r="317" spans="1:11" x14ac:dyDescent="0.2">
      <c r="A317" s="2"/>
      <c r="B317" s="2"/>
      <c r="C317" s="2"/>
      <c r="D317" s="2"/>
      <c r="E317" s="2"/>
      <c r="F317" s="2"/>
      <c r="G317" s="2"/>
      <c r="H317" s="2" t="str">
        <f>IF(B317="","",D317*Paramètres!$B$2+E317*Paramètres!$B$3+F317+G317*(1+Paramètres!$B$5/100))</f>
        <v/>
      </c>
      <c r="I317" s="2"/>
      <c r="J317" s="2" t="str">
        <f>IF(I317="","",I317-(D317*Paramètres!$B$2+E317*Paramètres!$B$3+F317+G317))</f>
        <v/>
      </c>
      <c r="K317" s="2"/>
    </row>
    <row r="318" spans="1:11" x14ac:dyDescent="0.2">
      <c r="A318" s="2"/>
      <c r="B318" s="2"/>
      <c r="C318" s="2"/>
      <c r="D318" s="2"/>
      <c r="E318" s="2"/>
      <c r="F318" s="2"/>
      <c r="G318" s="2"/>
      <c r="H318" s="2" t="str">
        <f>IF(B318="","",D318*Paramètres!$B$2+E318*Paramètres!$B$3+F318+G318*(1+Paramètres!$B$5/100))</f>
        <v/>
      </c>
      <c r="I318" s="2"/>
      <c r="J318" s="2" t="str">
        <f>IF(I318="","",I318-(D318*Paramètres!$B$2+E318*Paramètres!$B$3+F318+G318))</f>
        <v/>
      </c>
      <c r="K318" s="2"/>
    </row>
    <row r="319" spans="1:11" x14ac:dyDescent="0.2">
      <c r="A319" s="2"/>
      <c r="B319" s="2"/>
      <c r="C319" s="2"/>
      <c r="D319" s="2"/>
      <c r="E319" s="2"/>
      <c r="F319" s="2"/>
      <c r="G319" s="2"/>
      <c r="H319" s="2" t="str">
        <f>IF(B319="","",D319*Paramètres!$B$2+E319*Paramètres!$B$3+F319+G319*(1+Paramètres!$B$5/100))</f>
        <v/>
      </c>
      <c r="I319" s="2"/>
      <c r="J319" s="2" t="str">
        <f>IF(I319="","",I319-(D319*Paramètres!$B$2+E319*Paramètres!$B$3+F319+G319))</f>
        <v/>
      </c>
      <c r="K319" s="2"/>
    </row>
    <row r="320" spans="1:11" x14ac:dyDescent="0.2">
      <c r="A320" s="2"/>
      <c r="B320" s="2"/>
      <c r="C320" s="2"/>
      <c r="D320" s="2"/>
      <c r="E320" s="2"/>
      <c r="F320" s="2"/>
      <c r="G320" s="2"/>
      <c r="H320" s="2" t="str">
        <f>IF(B320="","",D320*Paramètres!$B$2+E320*Paramètres!$B$3+F320+G320*(1+Paramètres!$B$5/100))</f>
        <v/>
      </c>
      <c r="I320" s="2"/>
      <c r="J320" s="2" t="str">
        <f>IF(I320="","",I320-(D320*Paramètres!$B$2+E320*Paramètres!$B$3+F320+G320))</f>
        <v/>
      </c>
      <c r="K320" s="2"/>
    </row>
    <row r="321" spans="1:11" x14ac:dyDescent="0.2">
      <c r="A321" s="2"/>
      <c r="B321" s="2"/>
      <c r="C321" s="2"/>
      <c r="D321" s="2"/>
      <c r="E321" s="2"/>
      <c r="F321" s="2"/>
      <c r="G321" s="2"/>
      <c r="H321" s="2" t="str">
        <f>IF(B321="","",D321*Paramètres!$B$2+E321*Paramètres!$B$3+F321+G321*(1+Paramètres!$B$5/100))</f>
        <v/>
      </c>
      <c r="I321" s="2"/>
      <c r="J321" s="2" t="str">
        <f>IF(I321="","",I321-(D321*Paramètres!$B$2+E321*Paramètres!$B$3+F321+G321))</f>
        <v/>
      </c>
      <c r="K321" s="2"/>
    </row>
    <row r="322" spans="1:11" x14ac:dyDescent="0.2">
      <c r="A322" s="2"/>
      <c r="B322" s="2"/>
      <c r="C322" s="2"/>
      <c r="D322" s="2"/>
      <c r="E322" s="2"/>
      <c r="F322" s="2"/>
      <c r="G322" s="2"/>
      <c r="H322" s="2" t="str">
        <f>IF(B322="","",D322*Paramètres!$B$2+E322*Paramètres!$B$3+F322+G322*(1+Paramètres!$B$5/100))</f>
        <v/>
      </c>
      <c r="I322" s="2"/>
      <c r="J322" s="2" t="str">
        <f>IF(I322="","",I322-(D322*Paramètres!$B$2+E322*Paramètres!$B$3+F322+G322))</f>
        <v/>
      </c>
      <c r="K322" s="2"/>
    </row>
    <row r="323" spans="1:11" x14ac:dyDescent="0.2">
      <c r="A323" s="2"/>
      <c r="B323" s="2"/>
      <c r="C323" s="2"/>
      <c r="D323" s="2"/>
      <c r="E323" s="2"/>
      <c r="F323" s="2"/>
      <c r="G323" s="2"/>
      <c r="H323" s="2" t="str">
        <f>IF(B323="","",D323*Paramètres!$B$2+E323*Paramètres!$B$3+F323+G323*(1+Paramètres!$B$5/100))</f>
        <v/>
      </c>
      <c r="I323" s="2"/>
      <c r="J323" s="2" t="str">
        <f>IF(I323="","",I323-(D323*Paramètres!$B$2+E323*Paramètres!$B$3+F323+G323))</f>
        <v/>
      </c>
      <c r="K323" s="2"/>
    </row>
    <row r="324" spans="1:11" x14ac:dyDescent="0.2">
      <c r="A324" s="2"/>
      <c r="B324" s="2"/>
      <c r="C324" s="2"/>
      <c r="D324" s="2"/>
      <c r="E324" s="2"/>
      <c r="F324" s="2"/>
      <c r="G324" s="2"/>
      <c r="H324" s="2" t="str">
        <f>IF(B324="","",D324*Paramètres!$B$2+E324*Paramètres!$B$3+F324+G324*(1+Paramètres!$B$5/100))</f>
        <v/>
      </c>
      <c r="I324" s="2"/>
      <c r="J324" s="2" t="str">
        <f>IF(I324="","",I324-(D324*Paramètres!$B$2+E324*Paramètres!$B$3+F324+G324))</f>
        <v/>
      </c>
      <c r="K324" s="2"/>
    </row>
    <row r="325" spans="1:11" x14ac:dyDescent="0.2">
      <c r="A325" s="2"/>
      <c r="B325" s="2"/>
      <c r="C325" s="2"/>
      <c r="D325" s="2"/>
      <c r="E325" s="2"/>
      <c r="F325" s="2"/>
      <c r="G325" s="2"/>
      <c r="H325" s="2" t="str">
        <f>IF(B325="","",D325*Paramètres!$B$2+E325*Paramètres!$B$3+F325+G325*(1+Paramètres!$B$5/100))</f>
        <v/>
      </c>
      <c r="I325" s="2"/>
      <c r="J325" s="2" t="str">
        <f>IF(I325="","",I325-(D325*Paramètres!$B$2+E325*Paramètres!$B$3+F325+G325))</f>
        <v/>
      </c>
      <c r="K325" s="2"/>
    </row>
    <row r="326" spans="1:11" x14ac:dyDescent="0.2">
      <c r="A326" s="2"/>
      <c r="B326" s="2"/>
      <c r="C326" s="2"/>
      <c r="D326" s="2"/>
      <c r="E326" s="2"/>
      <c r="F326" s="2"/>
      <c r="G326" s="2"/>
      <c r="H326" s="2" t="str">
        <f>IF(B326="","",D326*Paramètres!$B$2+E326*Paramètres!$B$3+F326+G326*(1+Paramètres!$B$5/100))</f>
        <v/>
      </c>
      <c r="I326" s="2"/>
      <c r="J326" s="2" t="str">
        <f>IF(I326="","",I326-(D326*Paramètres!$B$2+E326*Paramètres!$B$3+F326+G326))</f>
        <v/>
      </c>
      <c r="K326" s="2"/>
    </row>
    <row r="327" spans="1:11" x14ac:dyDescent="0.2">
      <c r="A327" s="2"/>
      <c r="B327" s="2"/>
      <c r="C327" s="2"/>
      <c r="D327" s="2"/>
      <c r="E327" s="2"/>
      <c r="F327" s="2"/>
      <c r="G327" s="2"/>
      <c r="H327" s="2" t="str">
        <f>IF(B327="","",D327*Paramètres!$B$2+E327*Paramètres!$B$3+F327+G327*(1+Paramètres!$B$5/100))</f>
        <v/>
      </c>
      <c r="I327" s="2"/>
      <c r="J327" s="2" t="str">
        <f>IF(I327="","",I327-(D327*Paramètres!$B$2+E327*Paramètres!$B$3+F327+G327))</f>
        <v/>
      </c>
      <c r="K327" s="2"/>
    </row>
    <row r="328" spans="1:11" x14ac:dyDescent="0.2">
      <c r="A328" s="2"/>
      <c r="B328" s="2"/>
      <c r="C328" s="2"/>
      <c r="D328" s="2"/>
      <c r="E328" s="2"/>
      <c r="F328" s="2"/>
      <c r="G328" s="2"/>
      <c r="H328" s="2" t="str">
        <f>IF(B328="","",D328*Paramètres!$B$2+E328*Paramètres!$B$3+F328+G328*(1+Paramètres!$B$5/100))</f>
        <v/>
      </c>
      <c r="I328" s="2"/>
      <c r="J328" s="2" t="str">
        <f>IF(I328="","",I328-(D328*Paramètres!$B$2+E328*Paramètres!$B$3+F328+G328))</f>
        <v/>
      </c>
      <c r="K328" s="2"/>
    </row>
    <row r="329" spans="1:11" x14ac:dyDescent="0.2">
      <c r="A329" s="2"/>
      <c r="B329" s="2"/>
      <c r="C329" s="2"/>
      <c r="D329" s="2"/>
      <c r="E329" s="2"/>
      <c r="F329" s="2"/>
      <c r="G329" s="2"/>
      <c r="H329" s="2" t="str">
        <f>IF(B329="","",D329*Paramètres!$B$2+E329*Paramètres!$B$3+F329+G329*(1+Paramètres!$B$5/100))</f>
        <v/>
      </c>
      <c r="I329" s="2"/>
      <c r="J329" s="2" t="str">
        <f>IF(I329="","",I329-(D329*Paramètres!$B$2+E329*Paramètres!$B$3+F329+G329))</f>
        <v/>
      </c>
      <c r="K329" s="2"/>
    </row>
    <row r="330" spans="1:11" x14ac:dyDescent="0.2">
      <c r="A330" s="2"/>
      <c r="B330" s="2"/>
      <c r="C330" s="2"/>
      <c r="D330" s="2"/>
      <c r="E330" s="2"/>
      <c r="F330" s="2"/>
      <c r="G330" s="2"/>
      <c r="H330" s="2" t="str">
        <f>IF(B330="","",D330*Paramètres!$B$2+E330*Paramètres!$B$3+F330+G330*(1+Paramètres!$B$5/100))</f>
        <v/>
      </c>
      <c r="I330" s="2"/>
      <c r="J330" s="2" t="str">
        <f>IF(I330="","",I330-(D330*Paramètres!$B$2+E330*Paramètres!$B$3+F330+G330))</f>
        <v/>
      </c>
      <c r="K330" s="2"/>
    </row>
    <row r="331" spans="1:11" x14ac:dyDescent="0.2">
      <c r="A331" s="2"/>
      <c r="B331" s="2"/>
      <c r="C331" s="2"/>
      <c r="D331" s="2"/>
      <c r="E331" s="2"/>
      <c r="F331" s="2"/>
      <c r="G331" s="2"/>
      <c r="H331" s="2" t="str">
        <f>IF(B331="","",D331*Paramètres!$B$2+E331*Paramètres!$B$3+F331+G331*(1+Paramètres!$B$5/100))</f>
        <v/>
      </c>
      <c r="I331" s="2"/>
      <c r="J331" s="2" t="str">
        <f>IF(I331="","",I331-(D331*Paramètres!$B$2+E331*Paramètres!$B$3+F331+G331))</f>
        <v/>
      </c>
      <c r="K331" s="2"/>
    </row>
    <row r="332" spans="1:11" x14ac:dyDescent="0.2">
      <c r="A332" s="2"/>
      <c r="B332" s="2"/>
      <c r="C332" s="2"/>
      <c r="D332" s="2"/>
      <c r="E332" s="2"/>
      <c r="F332" s="2"/>
      <c r="G332" s="2"/>
      <c r="H332" s="2" t="str">
        <f>IF(B332="","",D332*Paramètres!$B$2+E332*Paramètres!$B$3+F332+G332*(1+Paramètres!$B$5/100))</f>
        <v/>
      </c>
      <c r="I332" s="2"/>
      <c r="J332" s="2" t="str">
        <f>IF(I332="","",I332-(D332*Paramètres!$B$2+E332*Paramètres!$B$3+F332+G332))</f>
        <v/>
      </c>
      <c r="K332" s="2"/>
    </row>
    <row r="333" spans="1:11" x14ac:dyDescent="0.2">
      <c r="A333" s="2"/>
      <c r="B333" s="2"/>
      <c r="C333" s="2"/>
      <c r="D333" s="2"/>
      <c r="E333" s="2"/>
      <c r="F333" s="2"/>
      <c r="G333" s="2"/>
      <c r="H333" s="2" t="str">
        <f>IF(B333="","",D333*Paramètres!$B$2+E333*Paramètres!$B$3+F333+G333*(1+Paramètres!$B$5/100))</f>
        <v/>
      </c>
      <c r="I333" s="2"/>
      <c r="J333" s="2" t="str">
        <f>IF(I333="","",I333-(D333*Paramètres!$B$2+E333*Paramètres!$B$3+F333+G333))</f>
        <v/>
      </c>
      <c r="K333" s="2"/>
    </row>
    <row r="334" spans="1:11" x14ac:dyDescent="0.2">
      <c r="A334" s="2"/>
      <c r="B334" s="2"/>
      <c r="C334" s="2"/>
      <c r="D334" s="2"/>
      <c r="E334" s="2"/>
      <c r="F334" s="2"/>
      <c r="G334" s="2"/>
      <c r="H334" s="2" t="str">
        <f>IF(B334="","",D334*Paramètres!$B$2+E334*Paramètres!$B$3+F334+G334*(1+Paramètres!$B$5/100))</f>
        <v/>
      </c>
      <c r="I334" s="2"/>
      <c r="J334" s="2" t="str">
        <f>IF(I334="","",I334-(D334*Paramètres!$B$2+E334*Paramètres!$B$3+F334+G334))</f>
        <v/>
      </c>
      <c r="K334" s="2"/>
    </row>
    <row r="335" spans="1:11" x14ac:dyDescent="0.2">
      <c r="A335" s="2"/>
      <c r="B335" s="2"/>
      <c r="C335" s="2"/>
      <c r="D335" s="2"/>
      <c r="E335" s="2"/>
      <c r="F335" s="2"/>
      <c r="G335" s="2"/>
      <c r="H335" s="2" t="str">
        <f>IF(B335="","",D335*Paramètres!$B$2+E335*Paramètres!$B$3+F335+G335*(1+Paramètres!$B$5/100))</f>
        <v/>
      </c>
      <c r="I335" s="2"/>
      <c r="J335" s="2" t="str">
        <f>IF(I335="","",I335-(D335*Paramètres!$B$2+E335*Paramètres!$B$3+F335+G335))</f>
        <v/>
      </c>
      <c r="K335" s="2"/>
    </row>
    <row r="336" spans="1:11" x14ac:dyDescent="0.2">
      <c r="A336" s="2"/>
      <c r="B336" s="2"/>
      <c r="C336" s="2"/>
      <c r="D336" s="2"/>
      <c r="E336" s="2"/>
      <c r="F336" s="2"/>
      <c r="G336" s="2"/>
      <c r="H336" s="2" t="str">
        <f>IF(B336="","",D336*Paramètres!$B$2+E336*Paramètres!$B$3+F336+G336*(1+Paramètres!$B$5/100))</f>
        <v/>
      </c>
      <c r="I336" s="2"/>
      <c r="J336" s="2" t="str">
        <f>IF(I336="","",I336-(D336*Paramètres!$B$2+E336*Paramètres!$B$3+F336+G336))</f>
        <v/>
      </c>
      <c r="K336" s="2"/>
    </row>
    <row r="337" spans="1:11" x14ac:dyDescent="0.2">
      <c r="A337" s="2"/>
      <c r="B337" s="2"/>
      <c r="C337" s="2"/>
      <c r="D337" s="2"/>
      <c r="E337" s="2"/>
      <c r="F337" s="2"/>
      <c r="G337" s="2"/>
      <c r="H337" s="2" t="str">
        <f>IF(B337="","",D337*Paramètres!$B$2+E337*Paramètres!$B$3+F337+G337*(1+Paramètres!$B$5/100))</f>
        <v/>
      </c>
      <c r="I337" s="2"/>
      <c r="J337" s="2" t="str">
        <f>IF(I337="","",I337-(D337*Paramètres!$B$2+E337*Paramètres!$B$3+F337+G337))</f>
        <v/>
      </c>
      <c r="K337" s="2"/>
    </row>
    <row r="338" spans="1:11" x14ac:dyDescent="0.2">
      <c r="A338" s="2"/>
      <c r="B338" s="2"/>
      <c r="C338" s="2"/>
      <c r="D338" s="2"/>
      <c r="E338" s="2"/>
      <c r="F338" s="2"/>
      <c r="G338" s="2"/>
      <c r="H338" s="2" t="str">
        <f>IF(B338="","",D338*Paramètres!$B$2+E338*Paramètres!$B$3+F338+G338*(1+Paramètres!$B$5/100))</f>
        <v/>
      </c>
      <c r="I338" s="2"/>
      <c r="J338" s="2" t="str">
        <f>IF(I338="","",I338-(D338*Paramètres!$B$2+E338*Paramètres!$B$3+F338+G338))</f>
        <v/>
      </c>
      <c r="K338" s="2"/>
    </row>
    <row r="339" spans="1:11" x14ac:dyDescent="0.2">
      <c r="A339" s="2"/>
      <c r="B339" s="2"/>
      <c r="C339" s="2"/>
      <c r="D339" s="2"/>
      <c r="E339" s="2"/>
      <c r="F339" s="2"/>
      <c r="G339" s="2"/>
      <c r="H339" s="2" t="str">
        <f>IF(B339="","",D339*Paramètres!$B$2+E339*Paramètres!$B$3+F339+G339*(1+Paramètres!$B$5/100))</f>
        <v/>
      </c>
      <c r="I339" s="2"/>
      <c r="J339" s="2" t="str">
        <f>IF(I339="","",I339-(D339*Paramètres!$B$2+E339*Paramètres!$B$3+F339+G339))</f>
        <v/>
      </c>
      <c r="K339" s="2"/>
    </row>
    <row r="340" spans="1:11" x14ac:dyDescent="0.2">
      <c r="A340" s="2"/>
      <c r="B340" s="2"/>
      <c r="C340" s="2"/>
      <c r="D340" s="2"/>
      <c r="E340" s="2"/>
      <c r="F340" s="2"/>
      <c r="G340" s="2"/>
      <c r="H340" s="2" t="str">
        <f>IF(B340="","",D340*Paramètres!$B$2+E340*Paramètres!$B$3+F340+G340*(1+Paramètres!$B$5/100))</f>
        <v/>
      </c>
      <c r="I340" s="2"/>
      <c r="J340" s="2" t="str">
        <f>IF(I340="","",I340-(D340*Paramètres!$B$2+E340*Paramètres!$B$3+F340+G340))</f>
        <v/>
      </c>
      <c r="K340" s="2"/>
    </row>
    <row r="341" spans="1:11" x14ac:dyDescent="0.2">
      <c r="A341" s="2"/>
      <c r="B341" s="2"/>
      <c r="C341" s="2"/>
      <c r="D341" s="2"/>
      <c r="E341" s="2"/>
      <c r="F341" s="2"/>
      <c r="G341" s="2"/>
      <c r="H341" s="2" t="str">
        <f>IF(B341="","",D341*Paramètres!$B$2+E341*Paramètres!$B$3+F341+G341*(1+Paramètres!$B$5/100))</f>
        <v/>
      </c>
      <c r="I341" s="2"/>
      <c r="J341" s="2" t="str">
        <f>IF(I341="","",I341-(D341*Paramètres!$B$2+E341*Paramètres!$B$3+F341+G341))</f>
        <v/>
      </c>
      <c r="K341" s="2"/>
    </row>
    <row r="342" spans="1:11" x14ac:dyDescent="0.2">
      <c r="A342" s="2"/>
      <c r="B342" s="2"/>
      <c r="C342" s="2"/>
      <c r="D342" s="2"/>
      <c r="E342" s="2"/>
      <c r="F342" s="2"/>
      <c r="G342" s="2"/>
      <c r="H342" s="2" t="str">
        <f>IF(B342="","",D342*Paramètres!$B$2+E342*Paramètres!$B$3+F342+G342*(1+Paramètres!$B$5/100))</f>
        <v/>
      </c>
      <c r="I342" s="2"/>
      <c r="J342" s="2" t="str">
        <f>IF(I342="","",I342-(D342*Paramètres!$B$2+E342*Paramètres!$B$3+F342+G342))</f>
        <v/>
      </c>
      <c r="K342" s="2"/>
    </row>
    <row r="343" spans="1:11" x14ac:dyDescent="0.2">
      <c r="A343" s="2"/>
      <c r="B343" s="2"/>
      <c r="C343" s="2"/>
      <c r="D343" s="2"/>
      <c r="E343" s="2"/>
      <c r="F343" s="2"/>
      <c r="G343" s="2"/>
      <c r="H343" s="2" t="str">
        <f>IF(B343="","",D343*Paramètres!$B$2+E343*Paramètres!$B$3+F343+G343*(1+Paramètres!$B$5/100))</f>
        <v/>
      </c>
      <c r="I343" s="2"/>
      <c r="J343" s="2" t="str">
        <f>IF(I343="","",I343-(D343*Paramètres!$B$2+E343*Paramètres!$B$3+F343+G343))</f>
        <v/>
      </c>
      <c r="K343" s="2"/>
    </row>
    <row r="344" spans="1:11" x14ac:dyDescent="0.2">
      <c r="A344" s="2"/>
      <c r="B344" s="2"/>
      <c r="C344" s="2"/>
      <c r="D344" s="2"/>
      <c r="E344" s="2"/>
      <c r="F344" s="2"/>
      <c r="G344" s="2"/>
      <c r="H344" s="2" t="str">
        <f>IF(B344="","",D344*Paramètres!$B$2+E344*Paramètres!$B$3+F344+G344*(1+Paramètres!$B$5/100))</f>
        <v/>
      </c>
      <c r="I344" s="2"/>
      <c r="J344" s="2" t="str">
        <f>IF(I344="","",I344-(D344*Paramètres!$B$2+E344*Paramètres!$B$3+F344+G344))</f>
        <v/>
      </c>
      <c r="K344" s="2"/>
    </row>
    <row r="345" spans="1:11" x14ac:dyDescent="0.2">
      <c r="A345" s="2"/>
      <c r="B345" s="2"/>
      <c r="C345" s="2"/>
      <c r="D345" s="2"/>
      <c r="E345" s="2"/>
      <c r="F345" s="2"/>
      <c r="G345" s="2"/>
      <c r="H345" s="2" t="str">
        <f>IF(B345="","",D345*Paramètres!$B$2+E345*Paramètres!$B$3+F345+G345*(1+Paramètres!$B$5/100))</f>
        <v/>
      </c>
      <c r="I345" s="2"/>
      <c r="J345" s="2" t="str">
        <f>IF(I345="","",I345-(D345*Paramètres!$B$2+E345*Paramètres!$B$3+F345+G345))</f>
        <v/>
      </c>
      <c r="K345" s="2"/>
    </row>
    <row r="346" spans="1:11" x14ac:dyDescent="0.2">
      <c r="A346" s="2"/>
      <c r="B346" s="2"/>
      <c r="C346" s="2"/>
      <c r="D346" s="2"/>
      <c r="E346" s="2"/>
      <c r="F346" s="2"/>
      <c r="G346" s="2"/>
      <c r="H346" s="2" t="str">
        <f>IF(B346="","",D346*Paramètres!$B$2+E346*Paramètres!$B$3+F346+G346*(1+Paramètres!$B$5/100))</f>
        <v/>
      </c>
      <c r="I346" s="2"/>
      <c r="J346" s="2" t="str">
        <f>IF(I346="","",I346-(D346*Paramètres!$B$2+E346*Paramètres!$B$3+F346+G346))</f>
        <v/>
      </c>
      <c r="K346" s="2"/>
    </row>
    <row r="347" spans="1:11" x14ac:dyDescent="0.2">
      <c r="A347" s="2"/>
      <c r="B347" s="2"/>
      <c r="C347" s="2"/>
      <c r="D347" s="2"/>
      <c r="E347" s="2"/>
      <c r="F347" s="2"/>
      <c r="G347" s="2"/>
      <c r="H347" s="2" t="str">
        <f>IF(B347="","",D347*Paramètres!$B$2+E347*Paramètres!$B$3+F347+G347*(1+Paramètres!$B$5/100))</f>
        <v/>
      </c>
      <c r="I347" s="2"/>
      <c r="J347" s="2" t="str">
        <f>IF(I347="","",I347-(D347*Paramètres!$B$2+E347*Paramètres!$B$3+F347+G347))</f>
        <v/>
      </c>
      <c r="K347" s="2"/>
    </row>
    <row r="348" spans="1:11" x14ac:dyDescent="0.2">
      <c r="A348" s="2"/>
      <c r="B348" s="2"/>
      <c r="C348" s="2"/>
      <c r="D348" s="2"/>
      <c r="E348" s="2"/>
      <c r="F348" s="2"/>
      <c r="G348" s="2"/>
      <c r="H348" s="2" t="str">
        <f>IF(B348="","",D348*Paramètres!$B$2+E348*Paramètres!$B$3+F348+G348*(1+Paramètres!$B$5/100))</f>
        <v/>
      </c>
      <c r="I348" s="2"/>
      <c r="J348" s="2" t="str">
        <f>IF(I348="","",I348-(D348*Paramètres!$B$2+E348*Paramètres!$B$3+F348+G348))</f>
        <v/>
      </c>
      <c r="K348" s="2"/>
    </row>
    <row r="349" spans="1:11" x14ac:dyDescent="0.2">
      <c r="A349" s="2"/>
      <c r="B349" s="2"/>
      <c r="C349" s="2"/>
      <c r="D349" s="2"/>
      <c r="E349" s="2"/>
      <c r="F349" s="2"/>
      <c r="G349" s="2"/>
      <c r="H349" s="2" t="str">
        <f>IF(B349="","",D349*Paramètres!$B$2+E349*Paramètres!$B$3+F349+G349*(1+Paramètres!$B$5/100))</f>
        <v/>
      </c>
      <c r="I349" s="2"/>
      <c r="J349" s="2" t="str">
        <f>IF(I349="","",I349-(D349*Paramètres!$B$2+E349*Paramètres!$B$3+F349+G349))</f>
        <v/>
      </c>
      <c r="K349" s="2"/>
    </row>
    <row r="350" spans="1:11" x14ac:dyDescent="0.2">
      <c r="A350" s="2"/>
      <c r="B350" s="2"/>
      <c r="C350" s="2"/>
      <c r="D350" s="2"/>
      <c r="E350" s="2"/>
      <c r="F350" s="2"/>
      <c r="G350" s="2"/>
      <c r="H350" s="2" t="str">
        <f>IF(B350="","",D350*Paramètres!$B$2+E350*Paramètres!$B$3+F350+G350*(1+Paramètres!$B$5/100))</f>
        <v/>
      </c>
      <c r="I350" s="2"/>
      <c r="J350" s="2" t="str">
        <f>IF(I350="","",I350-(D350*Paramètres!$B$2+E350*Paramètres!$B$3+F350+G350))</f>
        <v/>
      </c>
      <c r="K350" s="2"/>
    </row>
    <row r="351" spans="1:11" x14ac:dyDescent="0.2">
      <c r="A351" s="2"/>
      <c r="B351" s="2"/>
      <c r="C351" s="2"/>
      <c r="D351" s="2"/>
      <c r="E351" s="2"/>
      <c r="F351" s="2"/>
      <c r="G351" s="2"/>
      <c r="H351" s="2" t="str">
        <f>IF(B351="","",D351*Paramètres!$B$2+E351*Paramètres!$B$3+F351+G351*(1+Paramètres!$B$5/100))</f>
        <v/>
      </c>
      <c r="I351" s="2"/>
      <c r="J351" s="2" t="str">
        <f>IF(I351="","",I351-(D351*Paramètres!$B$2+E351*Paramètres!$B$3+F351+G351))</f>
        <v/>
      </c>
      <c r="K351" s="2"/>
    </row>
    <row r="352" spans="1:11" x14ac:dyDescent="0.2">
      <c r="A352" s="2"/>
      <c r="B352" s="2"/>
      <c r="C352" s="2"/>
      <c r="D352" s="2"/>
      <c r="E352" s="2"/>
      <c r="F352" s="2"/>
      <c r="G352" s="2"/>
      <c r="H352" s="2" t="str">
        <f>IF(B352="","",D352*Paramètres!$B$2+E352*Paramètres!$B$3+F352+G352*(1+Paramètres!$B$5/100))</f>
        <v/>
      </c>
      <c r="I352" s="2"/>
      <c r="J352" s="2" t="str">
        <f>IF(I352="","",I352-(D352*Paramètres!$B$2+E352*Paramètres!$B$3+F352+G352))</f>
        <v/>
      </c>
      <c r="K352" s="2"/>
    </row>
    <row r="353" spans="1:11" x14ac:dyDescent="0.2">
      <c r="A353" s="2"/>
      <c r="B353" s="2"/>
      <c r="C353" s="2"/>
      <c r="D353" s="2"/>
      <c r="E353" s="2"/>
      <c r="F353" s="2"/>
      <c r="G353" s="2"/>
      <c r="H353" s="2" t="str">
        <f>IF(B353="","",D353*Paramètres!$B$2+E353*Paramètres!$B$3+F353+G353*(1+Paramètres!$B$5/100))</f>
        <v/>
      </c>
      <c r="I353" s="2"/>
      <c r="J353" s="2" t="str">
        <f>IF(I353="","",I353-(D353*Paramètres!$B$2+E353*Paramètres!$B$3+F353+G353))</f>
        <v/>
      </c>
      <c r="K353" s="2"/>
    </row>
    <row r="354" spans="1:11" x14ac:dyDescent="0.2">
      <c r="A354" s="2"/>
      <c r="B354" s="2"/>
      <c r="C354" s="2"/>
      <c r="D354" s="2"/>
      <c r="E354" s="2"/>
      <c r="F354" s="2"/>
      <c r="G354" s="2"/>
      <c r="H354" s="2" t="str">
        <f>IF(B354="","",D354*Paramètres!$B$2+E354*Paramètres!$B$3+F354+G354*(1+Paramètres!$B$5/100))</f>
        <v/>
      </c>
      <c r="I354" s="2"/>
      <c r="J354" s="2" t="str">
        <f>IF(I354="","",I354-(D354*Paramètres!$B$2+E354*Paramètres!$B$3+F354+G354))</f>
        <v/>
      </c>
      <c r="K354" s="2"/>
    </row>
    <row r="355" spans="1:11" x14ac:dyDescent="0.2">
      <c r="A355" s="2"/>
      <c r="B355" s="2"/>
      <c r="C355" s="2"/>
      <c r="D355" s="2"/>
      <c r="E355" s="2"/>
      <c r="F355" s="2"/>
      <c r="G355" s="2"/>
      <c r="H355" s="2" t="str">
        <f>IF(B355="","",D355*Paramètres!$B$2+E355*Paramètres!$B$3+F355+G355*(1+Paramètres!$B$5/100))</f>
        <v/>
      </c>
      <c r="I355" s="2"/>
      <c r="J355" s="2" t="str">
        <f>IF(I355="","",I355-(D355*Paramètres!$B$2+E355*Paramètres!$B$3+F355+G355))</f>
        <v/>
      </c>
      <c r="K355" s="2"/>
    </row>
    <row r="356" spans="1:11" x14ac:dyDescent="0.2">
      <c r="A356" s="2"/>
      <c r="B356" s="2"/>
      <c r="C356" s="2"/>
      <c r="D356" s="2"/>
      <c r="E356" s="2"/>
      <c r="F356" s="2"/>
      <c r="G356" s="2"/>
      <c r="H356" s="2" t="str">
        <f>IF(B356="","",D356*Paramètres!$B$2+E356*Paramètres!$B$3+F356+G356*(1+Paramètres!$B$5/100))</f>
        <v/>
      </c>
      <c r="I356" s="2"/>
      <c r="J356" s="2" t="str">
        <f>IF(I356="","",I356-(D356*Paramètres!$B$2+E356*Paramètres!$B$3+F356+G356))</f>
        <v/>
      </c>
      <c r="K356" s="2"/>
    </row>
    <row r="357" spans="1:11" x14ac:dyDescent="0.2">
      <c r="A357" s="2"/>
      <c r="B357" s="2"/>
      <c r="C357" s="2"/>
      <c r="D357" s="2"/>
      <c r="E357" s="2"/>
      <c r="F357" s="2"/>
      <c r="G357" s="2"/>
      <c r="H357" s="2" t="str">
        <f>IF(B357="","",D357*Paramètres!$B$2+E357*Paramètres!$B$3+F357+G357*(1+Paramètres!$B$5/100))</f>
        <v/>
      </c>
      <c r="I357" s="2"/>
      <c r="J357" s="2" t="str">
        <f>IF(I357="","",I357-(D357*Paramètres!$B$2+E357*Paramètres!$B$3+F357+G357))</f>
        <v/>
      </c>
      <c r="K357" s="2"/>
    </row>
    <row r="358" spans="1:11" x14ac:dyDescent="0.2">
      <c r="A358" s="2"/>
      <c r="B358" s="2"/>
      <c r="C358" s="2"/>
      <c r="D358" s="2"/>
      <c r="E358" s="2"/>
      <c r="F358" s="2"/>
      <c r="G358" s="2"/>
      <c r="H358" s="2" t="str">
        <f>IF(B358="","",D358*Paramètres!$B$2+E358*Paramètres!$B$3+F358+G358*(1+Paramètres!$B$5/100))</f>
        <v/>
      </c>
      <c r="I358" s="2"/>
      <c r="J358" s="2" t="str">
        <f>IF(I358="","",I358-(D358*Paramètres!$B$2+E358*Paramètres!$B$3+F358+G358))</f>
        <v/>
      </c>
      <c r="K358" s="2"/>
    </row>
    <row r="359" spans="1:11" x14ac:dyDescent="0.2">
      <c r="A359" s="2"/>
      <c r="B359" s="2"/>
      <c r="C359" s="2"/>
      <c r="D359" s="2"/>
      <c r="E359" s="2"/>
      <c r="F359" s="2"/>
      <c r="G359" s="2"/>
      <c r="H359" s="2" t="str">
        <f>IF(B359="","",D359*Paramètres!$B$2+E359*Paramètres!$B$3+F359+G359*(1+Paramètres!$B$5/100))</f>
        <v/>
      </c>
      <c r="I359" s="2"/>
      <c r="J359" s="2" t="str">
        <f>IF(I359="","",I359-(D359*Paramètres!$B$2+E359*Paramètres!$B$3+F359+G359))</f>
        <v/>
      </c>
      <c r="K359" s="2"/>
    </row>
    <row r="360" spans="1:11" x14ac:dyDescent="0.2">
      <c r="A360" s="2"/>
      <c r="B360" s="2"/>
      <c r="C360" s="2"/>
      <c r="D360" s="2"/>
      <c r="E360" s="2"/>
      <c r="F360" s="2"/>
      <c r="G360" s="2"/>
      <c r="H360" s="2" t="str">
        <f>IF(B360="","",D360*Paramètres!$B$2+E360*Paramètres!$B$3+F360+G360*(1+Paramètres!$B$5/100))</f>
        <v/>
      </c>
      <c r="I360" s="2"/>
      <c r="J360" s="2" t="str">
        <f>IF(I360="","",I360-(D360*Paramètres!$B$2+E360*Paramètres!$B$3+F360+G360))</f>
        <v/>
      </c>
      <c r="K360" s="2"/>
    </row>
    <row r="361" spans="1:11" x14ac:dyDescent="0.2">
      <c r="A361" s="2"/>
      <c r="B361" s="2"/>
      <c r="C361" s="2"/>
      <c r="D361" s="2"/>
      <c r="E361" s="2"/>
      <c r="F361" s="2"/>
      <c r="G361" s="2"/>
      <c r="H361" s="2" t="str">
        <f>IF(B361="","",D361*Paramètres!$B$2+E361*Paramètres!$B$3+F361+G361*(1+Paramètres!$B$5/100))</f>
        <v/>
      </c>
      <c r="I361" s="2"/>
      <c r="J361" s="2" t="str">
        <f>IF(I361="","",I361-(D361*Paramètres!$B$2+E361*Paramètres!$B$3+F361+G361))</f>
        <v/>
      </c>
      <c r="K361" s="2"/>
    </row>
    <row r="362" spans="1:11" x14ac:dyDescent="0.2">
      <c r="A362" s="2"/>
      <c r="B362" s="2"/>
      <c r="C362" s="2"/>
      <c r="D362" s="2"/>
      <c r="E362" s="2"/>
      <c r="F362" s="2"/>
      <c r="G362" s="2"/>
      <c r="H362" s="2" t="str">
        <f>IF(B362="","",D362*Paramètres!$B$2+E362*Paramètres!$B$3+F362+G362*(1+Paramètres!$B$5/100))</f>
        <v/>
      </c>
      <c r="I362" s="2"/>
      <c r="J362" s="2" t="str">
        <f>IF(I362="","",I362-(D362*Paramètres!$B$2+E362*Paramètres!$B$3+F362+G362))</f>
        <v/>
      </c>
      <c r="K362" s="2"/>
    </row>
    <row r="363" spans="1:11" x14ac:dyDescent="0.2">
      <c r="A363" s="2"/>
      <c r="B363" s="2"/>
      <c r="C363" s="2"/>
      <c r="D363" s="2"/>
      <c r="E363" s="2"/>
      <c r="F363" s="2"/>
      <c r="G363" s="2"/>
      <c r="H363" s="2" t="str">
        <f>IF(B363="","",D363*Paramètres!$B$2+E363*Paramètres!$B$3+F363+G363*(1+Paramètres!$B$5/100))</f>
        <v/>
      </c>
      <c r="I363" s="2"/>
      <c r="J363" s="2" t="str">
        <f>IF(I363="","",I363-(D363*Paramètres!$B$2+E363*Paramètres!$B$3+F363+G363))</f>
        <v/>
      </c>
      <c r="K363" s="2"/>
    </row>
    <row r="364" spans="1:11" x14ac:dyDescent="0.2">
      <c r="A364" s="2"/>
      <c r="B364" s="2"/>
      <c r="C364" s="2"/>
      <c r="D364" s="2"/>
      <c r="E364" s="2"/>
      <c r="F364" s="2"/>
      <c r="G364" s="2"/>
      <c r="H364" s="2" t="str">
        <f>IF(B364="","",D364*Paramètres!$B$2+E364*Paramètres!$B$3+F364+G364*(1+Paramètres!$B$5/100))</f>
        <v/>
      </c>
      <c r="I364" s="2"/>
      <c r="J364" s="2" t="str">
        <f>IF(I364="","",I364-(D364*Paramètres!$B$2+E364*Paramètres!$B$3+F364+G364))</f>
        <v/>
      </c>
      <c r="K364" s="2"/>
    </row>
    <row r="365" spans="1:11" x14ac:dyDescent="0.2">
      <c r="A365" s="2"/>
      <c r="B365" s="2"/>
      <c r="C365" s="2"/>
      <c r="D365" s="2"/>
      <c r="E365" s="2"/>
      <c r="F365" s="2"/>
      <c r="G365" s="2"/>
      <c r="H365" s="2" t="str">
        <f>IF(B365="","",D365*Paramètres!$B$2+E365*Paramètres!$B$3+F365+G365*(1+Paramètres!$B$5/100))</f>
        <v/>
      </c>
      <c r="I365" s="2"/>
      <c r="J365" s="2" t="str">
        <f>IF(I365="","",I365-(D365*Paramètres!$B$2+E365*Paramètres!$B$3+F365+G365))</f>
        <v/>
      </c>
      <c r="K365" s="2"/>
    </row>
    <row r="366" spans="1:11" x14ac:dyDescent="0.2">
      <c r="A366" s="2"/>
      <c r="B366" s="2"/>
      <c r="C366" s="2"/>
      <c r="D366" s="2"/>
      <c r="E366" s="2"/>
      <c r="F366" s="2"/>
      <c r="G366" s="2"/>
      <c r="H366" s="2" t="str">
        <f>IF(B366="","",D366*Paramètres!$B$2+E366*Paramètres!$B$3+F366+G366*(1+Paramètres!$B$5/100))</f>
        <v/>
      </c>
      <c r="I366" s="2"/>
      <c r="J366" s="2" t="str">
        <f>IF(I366="","",I366-(D366*Paramètres!$B$2+E366*Paramètres!$B$3+F366+G366))</f>
        <v/>
      </c>
      <c r="K366" s="2"/>
    </row>
    <row r="367" spans="1:11" x14ac:dyDescent="0.2">
      <c r="A367" s="2"/>
      <c r="B367" s="2"/>
      <c r="C367" s="2"/>
      <c r="D367" s="2"/>
      <c r="E367" s="2"/>
      <c r="F367" s="2"/>
      <c r="G367" s="2"/>
      <c r="H367" s="2" t="str">
        <f>IF(B367="","",D367*Paramètres!$B$2+E367*Paramètres!$B$3+F367+G367*(1+Paramètres!$B$5/100))</f>
        <v/>
      </c>
      <c r="I367" s="2"/>
      <c r="J367" s="2" t="str">
        <f>IF(I367="","",I367-(D367*Paramètres!$B$2+E367*Paramètres!$B$3+F367+G367))</f>
        <v/>
      </c>
      <c r="K367" s="2"/>
    </row>
    <row r="368" spans="1:11" x14ac:dyDescent="0.2">
      <c r="A368" s="2"/>
      <c r="B368" s="2"/>
      <c r="C368" s="2"/>
      <c r="D368" s="2"/>
      <c r="E368" s="2"/>
      <c r="F368" s="2"/>
      <c r="G368" s="2"/>
      <c r="H368" s="2" t="str">
        <f>IF(B368="","",D368*Paramètres!$B$2+E368*Paramètres!$B$3+F368+G368*(1+Paramètres!$B$5/100))</f>
        <v/>
      </c>
      <c r="I368" s="2"/>
      <c r="J368" s="2" t="str">
        <f>IF(I368="","",I368-(D368*Paramètres!$B$2+E368*Paramètres!$B$3+F368+G368))</f>
        <v/>
      </c>
      <c r="K368" s="2"/>
    </row>
    <row r="369" spans="1:11" x14ac:dyDescent="0.2">
      <c r="A369" s="2"/>
      <c r="B369" s="2"/>
      <c r="C369" s="2"/>
      <c r="D369" s="2"/>
      <c r="E369" s="2"/>
      <c r="F369" s="2"/>
      <c r="G369" s="2"/>
      <c r="H369" s="2" t="str">
        <f>IF(B369="","",D369*Paramètres!$B$2+E369*Paramètres!$B$3+F369+G369*(1+Paramètres!$B$5/100))</f>
        <v/>
      </c>
      <c r="I369" s="2"/>
      <c r="J369" s="2" t="str">
        <f>IF(I369="","",I369-(D369*Paramètres!$B$2+E369*Paramètres!$B$3+F369+G369))</f>
        <v/>
      </c>
      <c r="K369" s="2"/>
    </row>
    <row r="370" spans="1:11" x14ac:dyDescent="0.2">
      <c r="A370" s="2"/>
      <c r="B370" s="2"/>
      <c r="C370" s="2"/>
      <c r="D370" s="2"/>
      <c r="E370" s="2"/>
      <c r="F370" s="2"/>
      <c r="G370" s="2"/>
      <c r="H370" s="2" t="str">
        <f>IF(B370="","",D370*Paramètres!$B$2+E370*Paramètres!$B$3+F370+G370*(1+Paramètres!$B$5/100))</f>
        <v/>
      </c>
      <c r="I370" s="2"/>
      <c r="J370" s="2" t="str">
        <f>IF(I370="","",I370-(D370*Paramètres!$B$2+E370*Paramètres!$B$3+F370+G370))</f>
        <v/>
      </c>
      <c r="K370" s="2"/>
    </row>
    <row r="371" spans="1:11" x14ac:dyDescent="0.2">
      <c r="A371" s="2"/>
      <c r="B371" s="2"/>
      <c r="C371" s="2"/>
      <c r="D371" s="2"/>
      <c r="E371" s="2"/>
      <c r="F371" s="2"/>
      <c r="G371" s="2"/>
      <c r="H371" s="2" t="str">
        <f>IF(B371="","",D371*Paramètres!$B$2+E371*Paramètres!$B$3+F371+G371*(1+Paramètres!$B$5/100))</f>
        <v/>
      </c>
      <c r="I371" s="2"/>
      <c r="J371" s="2" t="str">
        <f>IF(I371="","",I371-(D371*Paramètres!$B$2+E371*Paramètres!$B$3+F371+G371))</f>
        <v/>
      </c>
      <c r="K371" s="2"/>
    </row>
    <row r="372" spans="1:11" x14ac:dyDescent="0.2">
      <c r="A372" s="2"/>
      <c r="B372" s="2"/>
      <c r="C372" s="2"/>
      <c r="D372" s="2"/>
      <c r="E372" s="2"/>
      <c r="F372" s="2"/>
      <c r="G372" s="2"/>
      <c r="H372" s="2" t="str">
        <f>IF(B372="","",D372*Paramètres!$B$2+E372*Paramètres!$B$3+F372+G372*(1+Paramètres!$B$5/100))</f>
        <v/>
      </c>
      <c r="I372" s="2"/>
      <c r="J372" s="2" t="str">
        <f>IF(I372="","",I372-(D372*Paramètres!$B$2+E372*Paramètres!$B$3+F372+G372))</f>
        <v/>
      </c>
      <c r="K372" s="2"/>
    </row>
    <row r="373" spans="1:11" x14ac:dyDescent="0.2">
      <c r="A373" s="2"/>
      <c r="B373" s="2"/>
      <c r="C373" s="2"/>
      <c r="D373" s="2"/>
      <c r="E373" s="2"/>
      <c r="F373" s="2"/>
      <c r="G373" s="2"/>
      <c r="H373" s="2" t="str">
        <f>IF(B373="","",D373*Paramètres!$B$2+E373*Paramètres!$B$3+F373+G373*(1+Paramètres!$B$5/100))</f>
        <v/>
      </c>
      <c r="I373" s="2"/>
      <c r="J373" s="2" t="str">
        <f>IF(I373="","",I373-(D373*Paramètres!$B$2+E373*Paramètres!$B$3+F373+G373))</f>
        <v/>
      </c>
      <c r="K373" s="2"/>
    </row>
    <row r="374" spans="1:11" x14ac:dyDescent="0.2">
      <c r="A374" s="2"/>
      <c r="B374" s="2"/>
      <c r="C374" s="2"/>
      <c r="D374" s="2"/>
      <c r="E374" s="2"/>
      <c r="F374" s="2"/>
      <c r="G374" s="2"/>
      <c r="H374" s="2" t="str">
        <f>IF(B374="","",D374*Paramètres!$B$2+E374*Paramètres!$B$3+F374+G374*(1+Paramètres!$B$5/100))</f>
        <v/>
      </c>
      <c r="I374" s="2"/>
      <c r="J374" s="2" t="str">
        <f>IF(I374="","",I374-(D374*Paramètres!$B$2+E374*Paramètres!$B$3+F374+G374))</f>
        <v/>
      </c>
      <c r="K374" s="2"/>
    </row>
    <row r="375" spans="1:11" x14ac:dyDescent="0.2">
      <c r="A375" s="2"/>
      <c r="B375" s="2"/>
      <c r="C375" s="2"/>
      <c r="D375" s="2"/>
      <c r="E375" s="2"/>
      <c r="F375" s="2"/>
      <c r="G375" s="2"/>
      <c r="H375" s="2" t="str">
        <f>IF(B375="","",D375*Paramètres!$B$2+E375*Paramètres!$B$3+F375+G375*(1+Paramètres!$B$5/100))</f>
        <v/>
      </c>
      <c r="I375" s="2"/>
      <c r="J375" s="2" t="str">
        <f>IF(I375="","",I375-(D375*Paramètres!$B$2+E375*Paramètres!$B$3+F375+G375))</f>
        <v/>
      </c>
      <c r="K375" s="2"/>
    </row>
    <row r="376" spans="1:11" x14ac:dyDescent="0.2">
      <c r="A376" s="2"/>
      <c r="B376" s="2"/>
      <c r="C376" s="2"/>
      <c r="D376" s="2"/>
      <c r="E376" s="2"/>
      <c r="F376" s="2"/>
      <c r="G376" s="2"/>
      <c r="H376" s="2" t="str">
        <f>IF(B376="","",D376*Paramètres!$B$2+E376*Paramètres!$B$3+F376+G376*(1+Paramètres!$B$5/100))</f>
        <v/>
      </c>
      <c r="I376" s="2"/>
      <c r="J376" s="2" t="str">
        <f>IF(I376="","",I376-(D376*Paramètres!$B$2+E376*Paramètres!$B$3+F376+G376))</f>
        <v/>
      </c>
      <c r="K376" s="2"/>
    </row>
    <row r="377" spans="1:11" x14ac:dyDescent="0.2">
      <c r="A377" s="2"/>
      <c r="B377" s="2"/>
      <c r="C377" s="2"/>
      <c r="D377" s="2"/>
      <c r="E377" s="2"/>
      <c r="F377" s="2"/>
      <c r="G377" s="2"/>
      <c r="H377" s="2" t="str">
        <f>IF(B377="","",D377*Paramètres!$B$2+E377*Paramètres!$B$3+F377+G377*(1+Paramètres!$B$5/100))</f>
        <v/>
      </c>
      <c r="I377" s="2"/>
      <c r="J377" s="2" t="str">
        <f>IF(I377="","",I377-(D377*Paramètres!$B$2+E377*Paramètres!$B$3+F377+G377))</f>
        <v/>
      </c>
      <c r="K377" s="2"/>
    </row>
    <row r="378" spans="1:11" x14ac:dyDescent="0.2">
      <c r="A378" s="2"/>
      <c r="B378" s="2"/>
      <c r="C378" s="2"/>
      <c r="D378" s="2"/>
      <c r="E378" s="2"/>
      <c r="F378" s="2"/>
      <c r="G378" s="2"/>
      <c r="H378" s="2" t="str">
        <f>IF(B378="","",D378*Paramètres!$B$2+E378*Paramètres!$B$3+F378+G378*(1+Paramètres!$B$5/100))</f>
        <v/>
      </c>
      <c r="I378" s="2"/>
      <c r="J378" s="2" t="str">
        <f>IF(I378="","",I378-(D378*Paramètres!$B$2+E378*Paramètres!$B$3+F378+G378))</f>
        <v/>
      </c>
      <c r="K378" s="2"/>
    </row>
    <row r="379" spans="1:11" x14ac:dyDescent="0.2">
      <c r="A379" s="2"/>
      <c r="B379" s="2"/>
      <c r="C379" s="2"/>
      <c r="D379" s="2"/>
      <c r="E379" s="2"/>
      <c r="F379" s="2"/>
      <c r="G379" s="2"/>
      <c r="H379" s="2" t="str">
        <f>IF(B379="","",D379*Paramètres!$B$2+E379*Paramètres!$B$3+F379+G379*(1+Paramètres!$B$5/100))</f>
        <v/>
      </c>
      <c r="I379" s="2"/>
      <c r="J379" s="2" t="str">
        <f>IF(I379="","",I379-(D379*Paramètres!$B$2+E379*Paramètres!$B$3+F379+G379))</f>
        <v/>
      </c>
      <c r="K379" s="2"/>
    </row>
    <row r="380" spans="1:11" x14ac:dyDescent="0.2">
      <c r="A380" s="2"/>
      <c r="B380" s="2"/>
      <c r="C380" s="2"/>
      <c r="D380" s="2"/>
      <c r="E380" s="2"/>
      <c r="F380" s="2"/>
      <c r="G380" s="2"/>
      <c r="H380" s="2" t="str">
        <f>IF(B380="","",D380*Paramètres!$B$2+E380*Paramètres!$B$3+F380+G380*(1+Paramètres!$B$5/100))</f>
        <v/>
      </c>
      <c r="I380" s="2"/>
      <c r="J380" s="2" t="str">
        <f>IF(I380="","",I380-(D380*Paramètres!$B$2+E380*Paramètres!$B$3+F380+G380))</f>
        <v/>
      </c>
      <c r="K380" s="2"/>
    </row>
    <row r="381" spans="1:11" x14ac:dyDescent="0.2">
      <c r="A381" s="2"/>
      <c r="B381" s="2"/>
      <c r="C381" s="2"/>
      <c r="D381" s="2"/>
      <c r="E381" s="2"/>
      <c r="F381" s="2"/>
      <c r="G381" s="2"/>
      <c r="H381" s="2" t="str">
        <f>IF(B381="","",D381*Paramètres!$B$2+E381*Paramètres!$B$3+F381+G381*(1+Paramètres!$B$5/100))</f>
        <v/>
      </c>
      <c r="I381" s="2"/>
      <c r="J381" s="2" t="str">
        <f>IF(I381="","",I381-(D381*Paramètres!$B$2+E381*Paramètres!$B$3+F381+G381))</f>
        <v/>
      </c>
      <c r="K381" s="2"/>
    </row>
    <row r="382" spans="1:11" x14ac:dyDescent="0.2">
      <c r="A382" s="2"/>
      <c r="B382" s="2"/>
      <c r="C382" s="2"/>
      <c r="D382" s="2"/>
      <c r="E382" s="2"/>
      <c r="F382" s="2"/>
      <c r="G382" s="2"/>
      <c r="H382" s="2" t="str">
        <f>IF(B382="","",D382*Paramètres!$B$2+E382*Paramètres!$B$3+F382+G382*(1+Paramètres!$B$5/100))</f>
        <v/>
      </c>
      <c r="I382" s="2"/>
      <c r="J382" s="2" t="str">
        <f>IF(I382="","",I382-(D382*Paramètres!$B$2+E382*Paramètres!$B$3+F382+G382))</f>
        <v/>
      </c>
      <c r="K382" s="2"/>
    </row>
    <row r="383" spans="1:11" x14ac:dyDescent="0.2">
      <c r="A383" s="2"/>
      <c r="B383" s="2"/>
      <c r="C383" s="2"/>
      <c r="D383" s="2"/>
      <c r="E383" s="2"/>
      <c r="F383" s="2"/>
      <c r="G383" s="2"/>
      <c r="H383" s="2" t="str">
        <f>IF(B383="","",D383*Paramètres!$B$2+E383*Paramètres!$B$3+F383+G383*(1+Paramètres!$B$5/100))</f>
        <v/>
      </c>
      <c r="I383" s="2"/>
      <c r="J383" s="2" t="str">
        <f>IF(I383="","",I383-(D383*Paramètres!$B$2+E383*Paramètres!$B$3+F383+G383))</f>
        <v/>
      </c>
      <c r="K383" s="2"/>
    </row>
    <row r="384" spans="1:11" x14ac:dyDescent="0.2">
      <c r="A384" s="2"/>
      <c r="B384" s="2"/>
      <c r="C384" s="2"/>
      <c r="D384" s="2"/>
      <c r="E384" s="2"/>
      <c r="F384" s="2"/>
      <c r="G384" s="2"/>
      <c r="H384" s="2" t="str">
        <f>IF(B384="","",D384*Paramètres!$B$2+E384*Paramètres!$B$3+F384+G384*(1+Paramètres!$B$5/100))</f>
        <v/>
      </c>
      <c r="I384" s="2"/>
      <c r="J384" s="2" t="str">
        <f>IF(I384="","",I384-(D384*Paramètres!$B$2+E384*Paramètres!$B$3+F384+G384))</f>
        <v/>
      </c>
      <c r="K384" s="2"/>
    </row>
    <row r="385" spans="1:11" x14ac:dyDescent="0.2">
      <c r="A385" s="2"/>
      <c r="B385" s="2"/>
      <c r="C385" s="2"/>
      <c r="D385" s="2"/>
      <c r="E385" s="2"/>
      <c r="F385" s="2"/>
      <c r="G385" s="2"/>
      <c r="H385" s="2" t="str">
        <f>IF(B385="","",D385*Paramètres!$B$2+E385*Paramètres!$B$3+F385+G385*(1+Paramètres!$B$5/100))</f>
        <v/>
      </c>
      <c r="I385" s="2"/>
      <c r="J385" s="2" t="str">
        <f>IF(I385="","",I385-(D385*Paramètres!$B$2+E385*Paramètres!$B$3+F385+G385))</f>
        <v/>
      </c>
      <c r="K385" s="2"/>
    </row>
    <row r="386" spans="1:11" x14ac:dyDescent="0.2">
      <c r="A386" s="2"/>
      <c r="B386" s="2"/>
      <c r="C386" s="2"/>
      <c r="D386" s="2"/>
      <c r="E386" s="2"/>
      <c r="F386" s="2"/>
      <c r="G386" s="2"/>
      <c r="H386" s="2" t="str">
        <f>IF(B386="","",D386*Paramètres!$B$2+E386*Paramètres!$B$3+F386+G386*(1+Paramètres!$B$5/100))</f>
        <v/>
      </c>
      <c r="I386" s="2"/>
      <c r="J386" s="2" t="str">
        <f>IF(I386="","",I386-(D386*Paramètres!$B$2+E386*Paramètres!$B$3+F386+G386))</f>
        <v/>
      </c>
      <c r="K386" s="2"/>
    </row>
    <row r="387" spans="1:11" x14ac:dyDescent="0.2">
      <c r="A387" s="2"/>
      <c r="B387" s="2"/>
      <c r="C387" s="2"/>
      <c r="D387" s="2"/>
      <c r="E387" s="2"/>
      <c r="F387" s="2"/>
      <c r="G387" s="2"/>
      <c r="H387" s="2" t="str">
        <f>IF(B387="","",D387*Paramètres!$B$2+E387*Paramètres!$B$3+F387+G387*(1+Paramètres!$B$5/100))</f>
        <v/>
      </c>
      <c r="I387" s="2"/>
      <c r="J387" s="2" t="str">
        <f>IF(I387="","",I387-(D387*Paramètres!$B$2+E387*Paramètres!$B$3+F387+G387))</f>
        <v/>
      </c>
      <c r="K387" s="2"/>
    </row>
    <row r="388" spans="1:11" x14ac:dyDescent="0.2">
      <c r="A388" s="2"/>
      <c r="B388" s="2"/>
      <c r="C388" s="2"/>
      <c r="D388" s="2"/>
      <c r="E388" s="2"/>
      <c r="F388" s="2"/>
      <c r="G388" s="2"/>
      <c r="H388" s="2" t="str">
        <f>IF(B388="","",D388*Paramètres!$B$2+E388*Paramètres!$B$3+F388+G388*(1+Paramètres!$B$5/100))</f>
        <v/>
      </c>
      <c r="I388" s="2"/>
      <c r="J388" s="2" t="str">
        <f>IF(I388="","",I388-(D388*Paramètres!$B$2+E388*Paramètres!$B$3+F388+G388))</f>
        <v/>
      </c>
      <c r="K388" s="2"/>
    </row>
    <row r="389" spans="1:11" x14ac:dyDescent="0.2">
      <c r="A389" s="2"/>
      <c r="B389" s="2"/>
      <c r="C389" s="2"/>
      <c r="D389" s="2"/>
      <c r="E389" s="2"/>
      <c r="F389" s="2"/>
      <c r="G389" s="2"/>
      <c r="H389" s="2" t="str">
        <f>IF(B389="","",D389*Paramètres!$B$2+E389*Paramètres!$B$3+F389+G389*(1+Paramètres!$B$5/100))</f>
        <v/>
      </c>
      <c r="I389" s="2"/>
      <c r="J389" s="2" t="str">
        <f>IF(I389="","",I389-(D389*Paramètres!$B$2+E389*Paramètres!$B$3+F389+G389))</f>
        <v/>
      </c>
      <c r="K389" s="2"/>
    </row>
    <row r="390" spans="1:11" x14ac:dyDescent="0.2">
      <c r="A390" s="2"/>
      <c r="B390" s="2"/>
      <c r="C390" s="2"/>
      <c r="D390" s="2"/>
      <c r="E390" s="2"/>
      <c r="F390" s="2"/>
      <c r="G390" s="2"/>
      <c r="H390" s="2" t="str">
        <f>IF(B390="","",D390*Paramètres!$B$2+E390*Paramètres!$B$3+F390+G390*(1+Paramètres!$B$5/100))</f>
        <v/>
      </c>
      <c r="I390" s="2"/>
      <c r="J390" s="2" t="str">
        <f>IF(I390="","",I390-(D390*Paramètres!$B$2+E390*Paramètres!$B$3+F390+G390))</f>
        <v/>
      </c>
      <c r="K390" s="2"/>
    </row>
    <row r="391" spans="1:11" x14ac:dyDescent="0.2">
      <c r="A391" s="2"/>
      <c r="B391" s="2"/>
      <c r="C391" s="2"/>
      <c r="D391" s="2"/>
      <c r="E391" s="2"/>
      <c r="F391" s="2"/>
      <c r="G391" s="2"/>
      <c r="H391" s="2" t="str">
        <f>IF(B391="","",D391*Paramètres!$B$2+E391*Paramètres!$B$3+F391+G391*(1+Paramètres!$B$5/100))</f>
        <v/>
      </c>
      <c r="I391" s="2"/>
      <c r="J391" s="2" t="str">
        <f>IF(I391="","",I391-(D391*Paramètres!$B$2+E391*Paramètres!$B$3+F391+G391))</f>
        <v/>
      </c>
      <c r="K391" s="2"/>
    </row>
    <row r="392" spans="1:11" x14ac:dyDescent="0.2">
      <c r="A392" s="2"/>
      <c r="B392" s="2"/>
      <c r="C392" s="2"/>
      <c r="D392" s="2"/>
      <c r="E392" s="2"/>
      <c r="F392" s="2"/>
      <c r="G392" s="2"/>
      <c r="H392" s="2" t="str">
        <f>IF(B392="","",D392*Paramètres!$B$2+E392*Paramètres!$B$3+F392+G392*(1+Paramètres!$B$5/100))</f>
        <v/>
      </c>
      <c r="I392" s="2"/>
      <c r="J392" s="2" t="str">
        <f>IF(I392="","",I392-(D392*Paramètres!$B$2+E392*Paramètres!$B$3+F392+G392))</f>
        <v/>
      </c>
      <c r="K392" s="2"/>
    </row>
    <row r="393" spans="1:11" x14ac:dyDescent="0.2">
      <c r="A393" s="2"/>
      <c r="B393" s="2"/>
      <c r="C393" s="2"/>
      <c r="D393" s="2"/>
      <c r="E393" s="2"/>
      <c r="F393" s="2"/>
      <c r="G393" s="2"/>
      <c r="H393" s="2" t="str">
        <f>IF(B393="","",D393*Paramètres!$B$2+E393*Paramètres!$B$3+F393+G393*(1+Paramètres!$B$5/100))</f>
        <v/>
      </c>
      <c r="I393" s="2"/>
      <c r="J393" s="2" t="str">
        <f>IF(I393="","",I393-(D393*Paramètres!$B$2+E393*Paramètres!$B$3+F393+G393))</f>
        <v/>
      </c>
      <c r="K393" s="2"/>
    </row>
    <row r="394" spans="1:11" x14ac:dyDescent="0.2">
      <c r="A394" s="2"/>
      <c r="B394" s="2"/>
      <c r="C394" s="2"/>
      <c r="D394" s="2"/>
      <c r="E394" s="2"/>
      <c r="F394" s="2"/>
      <c r="G394" s="2"/>
      <c r="H394" s="2" t="str">
        <f>IF(B394="","",D394*Paramètres!$B$2+E394*Paramètres!$B$3+F394+G394*(1+Paramètres!$B$5/100))</f>
        <v/>
      </c>
      <c r="I394" s="2"/>
      <c r="J394" s="2" t="str">
        <f>IF(I394="","",I394-(D394*Paramètres!$B$2+E394*Paramètres!$B$3+F394+G394))</f>
        <v/>
      </c>
      <c r="K394" s="2"/>
    </row>
    <row r="395" spans="1:11" x14ac:dyDescent="0.2">
      <c r="A395" s="2"/>
      <c r="B395" s="2"/>
      <c r="C395" s="2"/>
      <c r="D395" s="2"/>
      <c r="E395" s="2"/>
      <c r="F395" s="2"/>
      <c r="G395" s="2"/>
      <c r="H395" s="2" t="str">
        <f>IF(B395="","",D395*Paramètres!$B$2+E395*Paramètres!$B$3+F395+G395*(1+Paramètres!$B$5/100))</f>
        <v/>
      </c>
      <c r="I395" s="2"/>
      <c r="J395" s="2" t="str">
        <f>IF(I395="","",I395-(D395*Paramètres!$B$2+E395*Paramètres!$B$3+F395+G395))</f>
        <v/>
      </c>
      <c r="K395" s="2"/>
    </row>
    <row r="396" spans="1:11" x14ac:dyDescent="0.2">
      <c r="A396" s="2"/>
      <c r="B396" s="2"/>
      <c r="C396" s="2"/>
      <c r="D396" s="2"/>
      <c r="E396" s="2"/>
      <c r="F396" s="2"/>
      <c r="G396" s="2"/>
      <c r="H396" s="2" t="str">
        <f>IF(B396="","",D396*Paramètres!$B$2+E396*Paramètres!$B$3+F396+G396*(1+Paramètres!$B$5/100))</f>
        <v/>
      </c>
      <c r="I396" s="2"/>
      <c r="J396" s="2" t="str">
        <f>IF(I396="","",I396-(D396*Paramètres!$B$2+E396*Paramètres!$B$3+F396+G396))</f>
        <v/>
      </c>
      <c r="K396" s="2"/>
    </row>
    <row r="397" spans="1:11" x14ac:dyDescent="0.2">
      <c r="A397" s="2"/>
      <c r="B397" s="2"/>
      <c r="C397" s="2"/>
      <c r="D397" s="2"/>
      <c r="E397" s="2"/>
      <c r="F397" s="2"/>
      <c r="G397" s="2"/>
      <c r="H397" s="2" t="str">
        <f>IF(B397="","",D397*Paramètres!$B$2+E397*Paramètres!$B$3+F397+G397*(1+Paramètres!$B$5/100))</f>
        <v/>
      </c>
      <c r="I397" s="2"/>
      <c r="J397" s="2" t="str">
        <f>IF(I397="","",I397-(D397*Paramètres!$B$2+E397*Paramètres!$B$3+F397+G397))</f>
        <v/>
      </c>
      <c r="K397" s="2"/>
    </row>
    <row r="398" spans="1:11" x14ac:dyDescent="0.2">
      <c r="A398" s="2"/>
      <c r="B398" s="2"/>
      <c r="C398" s="2"/>
      <c r="D398" s="2"/>
      <c r="E398" s="2"/>
      <c r="F398" s="2"/>
      <c r="G398" s="2"/>
      <c r="H398" s="2" t="str">
        <f>IF(B398="","",D398*Paramètres!$B$2+E398*Paramètres!$B$3+F398+G398*(1+Paramètres!$B$5/100))</f>
        <v/>
      </c>
      <c r="I398" s="2"/>
      <c r="J398" s="2" t="str">
        <f>IF(I398="","",I398-(D398*Paramètres!$B$2+E398*Paramètres!$B$3+F398+G398))</f>
        <v/>
      </c>
      <c r="K398" s="2"/>
    </row>
    <row r="399" spans="1:11" x14ac:dyDescent="0.2">
      <c r="A399" s="2"/>
      <c r="B399" s="2"/>
      <c r="C399" s="2"/>
      <c r="D399" s="2"/>
      <c r="E399" s="2"/>
      <c r="F399" s="2"/>
      <c r="G399" s="2"/>
      <c r="H399" s="2" t="str">
        <f>IF(B399="","",D399*Paramètres!$B$2+E399*Paramètres!$B$3+F399+G399*(1+Paramètres!$B$5/100))</f>
        <v/>
      </c>
      <c r="I399" s="2"/>
      <c r="J399" s="2" t="str">
        <f>IF(I399="","",I399-(D399*Paramètres!$B$2+E399*Paramètres!$B$3+F399+G399))</f>
        <v/>
      </c>
      <c r="K399" s="2"/>
    </row>
    <row r="400" spans="1:11" x14ac:dyDescent="0.2">
      <c r="A400" s="2"/>
      <c r="B400" s="2"/>
      <c r="C400" s="2"/>
      <c r="D400" s="2"/>
      <c r="E400" s="2"/>
      <c r="F400" s="2"/>
      <c r="G400" s="2"/>
      <c r="H400" s="2" t="str">
        <f>IF(B400="","",D400*Paramètres!$B$2+E400*Paramètres!$B$3+F400+G400*(1+Paramètres!$B$5/100))</f>
        <v/>
      </c>
      <c r="I400" s="2"/>
      <c r="J400" s="2" t="str">
        <f>IF(I400="","",I400-(D400*Paramètres!$B$2+E400*Paramètres!$B$3+F400+G400))</f>
        <v/>
      </c>
      <c r="K400" s="2"/>
    </row>
    <row r="401" spans="1:11" x14ac:dyDescent="0.2">
      <c r="A401" s="2"/>
      <c r="B401" s="2"/>
      <c r="C401" s="2"/>
      <c r="D401" s="2"/>
      <c r="E401" s="2"/>
      <c r="F401" s="2"/>
      <c r="G401" s="2"/>
      <c r="H401" s="2" t="str">
        <f>IF(B401="","",D401*Paramètres!$B$2+E401*Paramètres!$B$3+F401+G401*(1+Paramètres!$B$5/100))</f>
        <v/>
      </c>
      <c r="I401" s="2"/>
      <c r="J401" s="2" t="str">
        <f>IF(I401="","",I401-(D401*Paramètres!$B$2+E401*Paramètres!$B$3+F401+G401))</f>
        <v/>
      </c>
      <c r="K401" s="2"/>
    </row>
    <row r="402" spans="1:11" x14ac:dyDescent="0.2">
      <c r="A402" s="2"/>
      <c r="B402" s="2"/>
      <c r="C402" s="2"/>
      <c r="D402" s="2"/>
      <c r="E402" s="2"/>
      <c r="F402" s="2"/>
      <c r="G402" s="2"/>
      <c r="H402" s="2" t="str">
        <f>IF(B402="","",D402*Paramètres!$B$2+E402*Paramètres!$B$3+F402+G402*(1+Paramètres!$B$5/100))</f>
        <v/>
      </c>
      <c r="I402" s="2"/>
      <c r="J402" s="2" t="str">
        <f>IF(I402="","",I402-(D402*Paramètres!$B$2+E402*Paramètres!$B$3+F402+G402))</f>
        <v/>
      </c>
      <c r="K402" s="2"/>
    </row>
    <row r="403" spans="1:11" x14ac:dyDescent="0.2">
      <c r="A403" s="2"/>
      <c r="B403" s="2"/>
      <c r="C403" s="2"/>
      <c r="D403" s="2"/>
      <c r="E403" s="2"/>
      <c r="F403" s="2"/>
      <c r="G403" s="2"/>
      <c r="H403" s="2" t="str">
        <f>IF(B403="","",D403*Paramètres!$B$2+E403*Paramètres!$B$3+F403+G403*(1+Paramètres!$B$5/100))</f>
        <v/>
      </c>
      <c r="I403" s="2"/>
      <c r="J403" s="2" t="str">
        <f>IF(I403="","",I403-(D403*Paramètres!$B$2+E403*Paramètres!$B$3+F403+G403))</f>
        <v/>
      </c>
      <c r="K403" s="2"/>
    </row>
    <row r="404" spans="1:11" x14ac:dyDescent="0.2">
      <c r="A404" s="2"/>
      <c r="B404" s="2"/>
      <c r="C404" s="2"/>
      <c r="D404" s="2"/>
      <c r="E404" s="2"/>
      <c r="F404" s="2"/>
      <c r="G404" s="2"/>
      <c r="H404" s="2" t="str">
        <f>IF(B404="","",D404*Paramètres!$B$2+E404*Paramètres!$B$3+F404+G404*(1+Paramètres!$B$5/100))</f>
        <v/>
      </c>
      <c r="I404" s="2"/>
      <c r="J404" s="2" t="str">
        <f>IF(I404="","",I404-(D404*Paramètres!$B$2+E404*Paramètres!$B$3+F404+G404))</f>
        <v/>
      </c>
      <c r="K404" s="2"/>
    </row>
    <row r="405" spans="1:11" x14ac:dyDescent="0.2">
      <c r="A405" s="2"/>
      <c r="B405" s="2"/>
      <c r="C405" s="2"/>
      <c r="D405" s="2"/>
      <c r="E405" s="2"/>
      <c r="F405" s="2"/>
      <c r="G405" s="2"/>
      <c r="H405" s="2" t="str">
        <f>IF(B405="","",D405*Paramètres!$B$2+E405*Paramètres!$B$3+F405+G405*(1+Paramètres!$B$5/100))</f>
        <v/>
      </c>
      <c r="I405" s="2"/>
      <c r="J405" s="2" t="str">
        <f>IF(I405="","",I405-(D405*Paramètres!$B$2+E405*Paramètres!$B$3+F405+G405))</f>
        <v/>
      </c>
      <c r="K405" s="2"/>
    </row>
    <row r="406" spans="1:11" x14ac:dyDescent="0.2">
      <c r="A406" s="2"/>
      <c r="B406" s="2"/>
      <c r="C406" s="2"/>
      <c r="D406" s="2"/>
      <c r="E406" s="2"/>
      <c r="F406" s="2"/>
      <c r="G406" s="2"/>
      <c r="H406" s="2" t="str">
        <f>IF(B406="","",D406*Paramètres!$B$2+E406*Paramètres!$B$3+F406+G406*(1+Paramètres!$B$5/100))</f>
        <v/>
      </c>
      <c r="I406" s="2"/>
      <c r="J406" s="2" t="str">
        <f>IF(I406="","",I406-(D406*Paramètres!$B$2+E406*Paramètres!$B$3+F406+G406))</f>
        <v/>
      </c>
      <c r="K406" s="2"/>
    </row>
    <row r="407" spans="1:11" x14ac:dyDescent="0.2">
      <c r="A407" s="2"/>
      <c r="B407" s="2"/>
      <c r="C407" s="2"/>
      <c r="D407" s="2"/>
      <c r="E407" s="2"/>
      <c r="F407" s="2"/>
      <c r="G407" s="2"/>
      <c r="H407" s="2" t="str">
        <f>IF(B407="","",D407*Paramètres!$B$2+E407*Paramètres!$B$3+F407+G407*(1+Paramètres!$B$5/100))</f>
        <v/>
      </c>
      <c r="I407" s="2"/>
      <c r="J407" s="2" t="str">
        <f>IF(I407="","",I407-(D407*Paramètres!$B$2+E407*Paramètres!$B$3+F407+G407))</f>
        <v/>
      </c>
      <c r="K407" s="2"/>
    </row>
    <row r="408" spans="1:11" x14ac:dyDescent="0.2">
      <c r="A408" s="2"/>
      <c r="B408" s="2"/>
      <c r="C408" s="2"/>
      <c r="D408" s="2"/>
      <c r="E408" s="2"/>
      <c r="F408" s="2"/>
      <c r="G408" s="2"/>
      <c r="H408" s="2" t="str">
        <f>IF(B408="","",D408*Paramètres!$B$2+E408*Paramètres!$B$3+F408+G408*(1+Paramètres!$B$5/100))</f>
        <v/>
      </c>
      <c r="I408" s="2"/>
      <c r="J408" s="2" t="str">
        <f>IF(I408="","",I408-(D408*Paramètres!$B$2+E408*Paramètres!$B$3+F408+G408))</f>
        <v/>
      </c>
      <c r="K408" s="2"/>
    </row>
    <row r="409" spans="1:11" x14ac:dyDescent="0.2">
      <c r="A409" s="2"/>
      <c r="B409" s="2"/>
      <c r="C409" s="2"/>
      <c r="D409" s="2"/>
      <c r="E409" s="2"/>
      <c r="F409" s="2"/>
      <c r="G409" s="2"/>
      <c r="H409" s="2" t="str">
        <f>IF(B409="","",D409*Paramètres!$B$2+E409*Paramètres!$B$3+F409+G409*(1+Paramètres!$B$5/100))</f>
        <v/>
      </c>
      <c r="I409" s="2"/>
      <c r="J409" s="2" t="str">
        <f>IF(I409="","",I409-(D409*Paramètres!$B$2+E409*Paramètres!$B$3+F409+G409))</f>
        <v/>
      </c>
      <c r="K409" s="2"/>
    </row>
    <row r="410" spans="1:11" x14ac:dyDescent="0.2">
      <c r="A410" s="2"/>
      <c r="B410" s="2"/>
      <c r="C410" s="2"/>
      <c r="D410" s="2"/>
      <c r="E410" s="2"/>
      <c r="F410" s="2"/>
      <c r="G410" s="2"/>
      <c r="H410" s="2" t="str">
        <f>IF(B410="","",D410*Paramètres!$B$2+E410*Paramètres!$B$3+F410+G410*(1+Paramètres!$B$5/100))</f>
        <v/>
      </c>
      <c r="I410" s="2"/>
      <c r="J410" s="2" t="str">
        <f>IF(I410="","",I410-(D410*Paramètres!$B$2+E410*Paramètres!$B$3+F410+G410))</f>
        <v/>
      </c>
      <c r="K410" s="2"/>
    </row>
    <row r="411" spans="1:11" x14ac:dyDescent="0.2">
      <c r="A411" s="2"/>
      <c r="B411" s="2"/>
      <c r="C411" s="2"/>
      <c r="D411" s="2"/>
      <c r="E411" s="2"/>
      <c r="F411" s="2"/>
      <c r="G411" s="2"/>
      <c r="H411" s="2" t="str">
        <f>IF(B411="","",D411*Paramètres!$B$2+E411*Paramètres!$B$3+F411+G411*(1+Paramètres!$B$5/100))</f>
        <v/>
      </c>
      <c r="I411" s="2"/>
      <c r="J411" s="2" t="str">
        <f>IF(I411="","",I411-(D411*Paramètres!$B$2+E411*Paramètres!$B$3+F411+G411))</f>
        <v/>
      </c>
      <c r="K411" s="2"/>
    </row>
    <row r="412" spans="1:11" x14ac:dyDescent="0.2">
      <c r="A412" s="2"/>
      <c r="B412" s="2"/>
      <c r="C412" s="2"/>
      <c r="D412" s="2"/>
      <c r="E412" s="2"/>
      <c r="F412" s="2"/>
      <c r="G412" s="2"/>
      <c r="H412" s="2" t="str">
        <f>IF(B412="","",D412*Paramètres!$B$2+E412*Paramètres!$B$3+F412+G412*(1+Paramètres!$B$5/100))</f>
        <v/>
      </c>
      <c r="I412" s="2"/>
      <c r="J412" s="2" t="str">
        <f>IF(I412="","",I412-(D412*Paramètres!$B$2+E412*Paramètres!$B$3+F412+G412))</f>
        <v/>
      </c>
      <c r="K412" s="2"/>
    </row>
    <row r="413" spans="1:11" x14ac:dyDescent="0.2">
      <c r="A413" s="2"/>
      <c r="B413" s="2"/>
      <c r="C413" s="2"/>
      <c r="D413" s="2"/>
      <c r="E413" s="2"/>
      <c r="F413" s="2"/>
      <c r="G413" s="2"/>
      <c r="H413" s="2" t="str">
        <f>IF(B413="","",D413*Paramètres!$B$2+E413*Paramètres!$B$3+F413+G413*(1+Paramètres!$B$5/100))</f>
        <v/>
      </c>
      <c r="I413" s="2"/>
      <c r="J413" s="2" t="str">
        <f>IF(I413="","",I413-(D413*Paramètres!$B$2+E413*Paramètres!$B$3+F413+G413))</f>
        <v/>
      </c>
      <c r="K413" s="2"/>
    </row>
    <row r="414" spans="1:11" x14ac:dyDescent="0.2">
      <c r="A414" s="2"/>
      <c r="B414" s="2"/>
      <c r="C414" s="2"/>
      <c r="D414" s="2"/>
      <c r="E414" s="2"/>
      <c r="F414" s="2"/>
      <c r="G414" s="2"/>
      <c r="H414" s="2" t="str">
        <f>IF(B414="","",D414*Paramètres!$B$2+E414*Paramètres!$B$3+F414+G414*(1+Paramètres!$B$5/100))</f>
        <v/>
      </c>
      <c r="I414" s="2"/>
      <c r="J414" s="2" t="str">
        <f>IF(I414="","",I414-(D414*Paramètres!$B$2+E414*Paramètres!$B$3+F414+G414))</f>
        <v/>
      </c>
      <c r="K414" s="2"/>
    </row>
    <row r="415" spans="1:11" x14ac:dyDescent="0.2">
      <c r="A415" s="2"/>
      <c r="B415" s="2"/>
      <c r="C415" s="2"/>
      <c r="D415" s="2"/>
      <c r="E415" s="2"/>
      <c r="F415" s="2"/>
      <c r="G415" s="2"/>
      <c r="H415" s="2" t="str">
        <f>IF(B415="","",D415*Paramètres!$B$2+E415*Paramètres!$B$3+F415+G415*(1+Paramètres!$B$5/100))</f>
        <v/>
      </c>
      <c r="I415" s="2"/>
      <c r="J415" s="2" t="str">
        <f>IF(I415="","",I415-(D415*Paramètres!$B$2+E415*Paramètres!$B$3+F415+G415))</f>
        <v/>
      </c>
      <c r="K415" s="2"/>
    </row>
    <row r="416" spans="1:11" x14ac:dyDescent="0.2">
      <c r="A416" s="2"/>
      <c r="B416" s="2"/>
      <c r="C416" s="2"/>
      <c r="D416" s="2"/>
      <c r="E416" s="2"/>
      <c r="F416" s="2"/>
      <c r="G416" s="2"/>
      <c r="H416" s="2" t="str">
        <f>IF(B416="","",D416*Paramètres!$B$2+E416*Paramètres!$B$3+F416+G416*(1+Paramètres!$B$5/100))</f>
        <v/>
      </c>
      <c r="I416" s="2"/>
      <c r="J416" s="2" t="str">
        <f>IF(I416="","",I416-(D416*Paramètres!$B$2+E416*Paramètres!$B$3+F416+G416))</f>
        <v/>
      </c>
      <c r="K416" s="2"/>
    </row>
    <row r="417" spans="1:11" x14ac:dyDescent="0.2">
      <c r="A417" s="2"/>
      <c r="B417" s="2"/>
      <c r="C417" s="2"/>
      <c r="D417" s="2"/>
      <c r="E417" s="2"/>
      <c r="F417" s="2"/>
      <c r="G417" s="2"/>
      <c r="H417" s="2" t="str">
        <f>IF(B417="","",D417*Paramètres!$B$2+E417*Paramètres!$B$3+F417+G417*(1+Paramètres!$B$5/100))</f>
        <v/>
      </c>
      <c r="I417" s="2"/>
      <c r="J417" s="2" t="str">
        <f>IF(I417="","",I417-(D417*Paramètres!$B$2+E417*Paramètres!$B$3+F417+G417))</f>
        <v/>
      </c>
      <c r="K417" s="2"/>
    </row>
    <row r="418" spans="1:11" x14ac:dyDescent="0.2">
      <c r="A418" s="2"/>
      <c r="B418" s="2"/>
      <c r="C418" s="2"/>
      <c r="D418" s="2"/>
      <c r="E418" s="2"/>
      <c r="F418" s="2"/>
      <c r="G418" s="2"/>
      <c r="H418" s="2" t="str">
        <f>IF(B418="","",D418*Paramètres!$B$2+E418*Paramètres!$B$3+F418+G418*(1+Paramètres!$B$5/100))</f>
        <v/>
      </c>
      <c r="I418" s="2"/>
      <c r="J418" s="2" t="str">
        <f>IF(I418="","",I418-(D418*Paramètres!$B$2+E418*Paramètres!$B$3+F418+G418))</f>
        <v/>
      </c>
      <c r="K418" s="2"/>
    </row>
    <row r="419" spans="1:11" x14ac:dyDescent="0.2">
      <c r="A419" s="2"/>
      <c r="B419" s="2"/>
      <c r="C419" s="2"/>
      <c r="D419" s="2"/>
      <c r="E419" s="2"/>
      <c r="F419" s="2"/>
      <c r="G419" s="2"/>
      <c r="H419" s="2" t="str">
        <f>IF(B419="","",D419*Paramètres!$B$2+E419*Paramètres!$B$3+F419+G419*(1+Paramètres!$B$5/100))</f>
        <v/>
      </c>
      <c r="I419" s="2"/>
      <c r="J419" s="2" t="str">
        <f>IF(I419="","",I419-(D419*Paramètres!$B$2+E419*Paramètres!$B$3+F419+G419))</f>
        <v/>
      </c>
      <c r="K419" s="2"/>
    </row>
    <row r="420" spans="1:11" x14ac:dyDescent="0.2">
      <c r="A420" s="2"/>
      <c r="B420" s="2"/>
      <c r="C420" s="2"/>
      <c r="D420" s="2"/>
      <c r="E420" s="2"/>
      <c r="F420" s="2"/>
      <c r="G420" s="2"/>
      <c r="H420" s="2" t="str">
        <f>IF(B420="","",D420*Paramètres!$B$2+E420*Paramètres!$B$3+F420+G420*(1+Paramètres!$B$5/100))</f>
        <v/>
      </c>
      <c r="I420" s="2"/>
      <c r="J420" s="2" t="str">
        <f>IF(I420="","",I420-(D420*Paramètres!$B$2+E420*Paramètres!$B$3+F420+G420))</f>
        <v/>
      </c>
      <c r="K420" s="2"/>
    </row>
    <row r="421" spans="1:11" x14ac:dyDescent="0.2">
      <c r="A421" s="2"/>
      <c r="B421" s="2"/>
      <c r="C421" s="2"/>
      <c r="D421" s="2"/>
      <c r="E421" s="2"/>
      <c r="F421" s="2"/>
      <c r="G421" s="2"/>
      <c r="H421" s="2" t="str">
        <f>IF(B421="","",D421*Paramètres!$B$2+E421*Paramètres!$B$3+F421+G421*(1+Paramètres!$B$5/100))</f>
        <v/>
      </c>
      <c r="I421" s="2"/>
      <c r="J421" s="2" t="str">
        <f>IF(I421="","",I421-(D421*Paramètres!$B$2+E421*Paramètres!$B$3+F421+G421))</f>
        <v/>
      </c>
      <c r="K421" s="2"/>
    </row>
    <row r="422" spans="1:11" x14ac:dyDescent="0.2">
      <c r="A422" s="2"/>
      <c r="B422" s="2"/>
      <c r="C422" s="2"/>
      <c r="D422" s="2"/>
      <c r="E422" s="2"/>
      <c r="F422" s="2"/>
      <c r="G422" s="2"/>
      <c r="H422" s="2" t="str">
        <f>IF(B422="","",D422*Paramètres!$B$2+E422*Paramètres!$B$3+F422+G422*(1+Paramètres!$B$5/100))</f>
        <v/>
      </c>
      <c r="I422" s="2"/>
      <c r="J422" s="2" t="str">
        <f>IF(I422="","",I422-(D422*Paramètres!$B$2+E422*Paramètres!$B$3+F422+G422))</f>
        <v/>
      </c>
      <c r="K422" s="2"/>
    </row>
    <row r="423" spans="1:11" x14ac:dyDescent="0.2">
      <c r="A423" s="2"/>
      <c r="B423" s="2"/>
      <c r="C423" s="2"/>
      <c r="D423" s="2"/>
      <c r="E423" s="2"/>
      <c r="F423" s="2"/>
      <c r="G423" s="2"/>
      <c r="H423" s="2" t="str">
        <f>IF(B423="","",D423*Paramètres!$B$2+E423*Paramètres!$B$3+F423+G423*(1+Paramètres!$B$5/100))</f>
        <v/>
      </c>
      <c r="I423" s="2"/>
      <c r="J423" s="2" t="str">
        <f>IF(I423="","",I423-(D423*Paramètres!$B$2+E423*Paramètres!$B$3+F423+G423))</f>
        <v/>
      </c>
      <c r="K423" s="2"/>
    </row>
    <row r="424" spans="1:11" x14ac:dyDescent="0.2">
      <c r="A424" s="2"/>
      <c r="B424" s="2"/>
      <c r="C424" s="2"/>
      <c r="D424" s="2"/>
      <c r="E424" s="2"/>
      <c r="F424" s="2"/>
      <c r="G424" s="2"/>
      <c r="H424" s="2" t="str">
        <f>IF(B424="","",D424*Paramètres!$B$2+E424*Paramètres!$B$3+F424+G424*(1+Paramètres!$B$5/100))</f>
        <v/>
      </c>
      <c r="I424" s="2"/>
      <c r="J424" s="2" t="str">
        <f>IF(I424="","",I424-(D424*Paramètres!$B$2+E424*Paramètres!$B$3+F424+G424))</f>
        <v/>
      </c>
      <c r="K424" s="2"/>
    </row>
    <row r="425" spans="1:11" x14ac:dyDescent="0.2">
      <c r="A425" s="2"/>
      <c r="B425" s="2"/>
      <c r="C425" s="2"/>
      <c r="D425" s="2"/>
      <c r="E425" s="2"/>
      <c r="F425" s="2"/>
      <c r="G425" s="2"/>
      <c r="H425" s="2" t="str">
        <f>IF(B425="","",D425*Paramètres!$B$2+E425*Paramètres!$B$3+F425+G425*(1+Paramètres!$B$5/100))</f>
        <v/>
      </c>
      <c r="I425" s="2"/>
      <c r="J425" s="2" t="str">
        <f>IF(I425="","",I425-(D425*Paramètres!$B$2+E425*Paramètres!$B$3+F425+G425))</f>
        <v/>
      </c>
      <c r="K425" s="2"/>
    </row>
    <row r="426" spans="1:11" x14ac:dyDescent="0.2">
      <c r="A426" s="2"/>
      <c r="B426" s="2"/>
      <c r="C426" s="2"/>
      <c r="D426" s="2"/>
      <c r="E426" s="2"/>
      <c r="F426" s="2"/>
      <c r="G426" s="2"/>
      <c r="H426" s="2" t="str">
        <f>IF(B426="","",D426*Paramètres!$B$2+E426*Paramètres!$B$3+F426+G426*(1+Paramètres!$B$5/100))</f>
        <v/>
      </c>
      <c r="I426" s="2"/>
      <c r="J426" s="2" t="str">
        <f>IF(I426="","",I426-(D426*Paramètres!$B$2+E426*Paramètres!$B$3+F426+G426))</f>
        <v/>
      </c>
      <c r="K426" s="2"/>
    </row>
    <row r="427" spans="1:11" x14ac:dyDescent="0.2">
      <c r="A427" s="2"/>
      <c r="B427" s="2"/>
      <c r="C427" s="2"/>
      <c r="D427" s="2"/>
      <c r="E427" s="2"/>
      <c r="F427" s="2"/>
      <c r="G427" s="2"/>
      <c r="H427" s="2" t="str">
        <f>IF(B427="","",D427*Paramètres!$B$2+E427*Paramètres!$B$3+F427+G427*(1+Paramètres!$B$5/100))</f>
        <v/>
      </c>
      <c r="I427" s="2"/>
      <c r="J427" s="2" t="str">
        <f>IF(I427="","",I427-(D427*Paramètres!$B$2+E427*Paramètres!$B$3+F427+G427))</f>
        <v/>
      </c>
      <c r="K427" s="2"/>
    </row>
    <row r="428" spans="1:11" x14ac:dyDescent="0.2">
      <c r="A428" s="2"/>
      <c r="B428" s="2"/>
      <c r="C428" s="2"/>
      <c r="D428" s="2"/>
      <c r="E428" s="2"/>
      <c r="F428" s="2"/>
      <c r="G428" s="2"/>
      <c r="H428" s="2" t="str">
        <f>IF(B428="","",D428*Paramètres!$B$2+E428*Paramètres!$B$3+F428+G428*(1+Paramètres!$B$5/100))</f>
        <v/>
      </c>
      <c r="I428" s="2"/>
      <c r="J428" s="2" t="str">
        <f>IF(I428="","",I428-(D428*Paramètres!$B$2+E428*Paramètres!$B$3+F428+G428))</f>
        <v/>
      </c>
      <c r="K428" s="2"/>
    </row>
    <row r="429" spans="1:11" x14ac:dyDescent="0.2">
      <c r="A429" s="2"/>
      <c r="B429" s="2"/>
      <c r="C429" s="2"/>
      <c r="D429" s="2"/>
      <c r="E429" s="2"/>
      <c r="F429" s="2"/>
      <c r="G429" s="2"/>
      <c r="H429" s="2" t="str">
        <f>IF(B429="","",D429*Paramètres!$B$2+E429*Paramètres!$B$3+F429+G429*(1+Paramètres!$B$5/100))</f>
        <v/>
      </c>
      <c r="I429" s="2"/>
      <c r="J429" s="2" t="str">
        <f>IF(I429="","",I429-(D429*Paramètres!$B$2+E429*Paramètres!$B$3+F429+G429))</f>
        <v/>
      </c>
      <c r="K429" s="2"/>
    </row>
    <row r="430" spans="1:11" x14ac:dyDescent="0.2">
      <c r="A430" s="2"/>
      <c r="B430" s="2"/>
      <c r="C430" s="2"/>
      <c r="D430" s="2"/>
      <c r="E430" s="2"/>
      <c r="F430" s="2"/>
      <c r="G430" s="2"/>
      <c r="H430" s="2" t="str">
        <f>IF(B430="","",D430*Paramètres!$B$2+E430*Paramètres!$B$3+F430+G430*(1+Paramètres!$B$5/100))</f>
        <v/>
      </c>
      <c r="I430" s="2"/>
      <c r="J430" s="2" t="str">
        <f>IF(I430="","",I430-(D430*Paramètres!$B$2+E430*Paramètres!$B$3+F430+G430))</f>
        <v/>
      </c>
      <c r="K430" s="2"/>
    </row>
    <row r="431" spans="1:11" x14ac:dyDescent="0.2">
      <c r="A431" s="2"/>
      <c r="B431" s="2"/>
      <c r="C431" s="2"/>
      <c r="D431" s="2"/>
      <c r="E431" s="2"/>
      <c r="F431" s="2"/>
      <c r="G431" s="2"/>
      <c r="H431" s="2" t="str">
        <f>IF(B431="","",D431*Paramètres!$B$2+E431*Paramètres!$B$3+F431+G431*(1+Paramètres!$B$5/100))</f>
        <v/>
      </c>
      <c r="I431" s="2"/>
      <c r="J431" s="2" t="str">
        <f>IF(I431="","",I431-(D431*Paramètres!$B$2+E431*Paramètres!$B$3+F431+G431))</f>
        <v/>
      </c>
      <c r="K431" s="2"/>
    </row>
    <row r="432" spans="1:11" x14ac:dyDescent="0.2">
      <c r="A432" s="2"/>
      <c r="B432" s="2"/>
      <c r="C432" s="2"/>
      <c r="D432" s="2"/>
      <c r="E432" s="2"/>
      <c r="F432" s="2"/>
      <c r="G432" s="2"/>
      <c r="H432" s="2" t="str">
        <f>IF(B432="","",D432*Paramètres!$B$2+E432*Paramètres!$B$3+F432+G432*(1+Paramètres!$B$5/100))</f>
        <v/>
      </c>
      <c r="I432" s="2"/>
      <c r="J432" s="2" t="str">
        <f>IF(I432="","",I432-(D432*Paramètres!$B$2+E432*Paramètres!$B$3+F432+G432))</f>
        <v/>
      </c>
      <c r="K432" s="2"/>
    </row>
    <row r="433" spans="1:11" x14ac:dyDescent="0.2">
      <c r="A433" s="2"/>
      <c r="B433" s="2"/>
      <c r="C433" s="2"/>
      <c r="D433" s="2"/>
      <c r="E433" s="2"/>
      <c r="F433" s="2"/>
      <c r="G433" s="2"/>
      <c r="H433" s="2" t="str">
        <f>IF(B433="","",D433*Paramètres!$B$2+E433*Paramètres!$B$3+F433+G433*(1+Paramètres!$B$5/100))</f>
        <v/>
      </c>
      <c r="I433" s="2"/>
      <c r="J433" s="2" t="str">
        <f>IF(I433="","",I433-(D433*Paramètres!$B$2+E433*Paramètres!$B$3+F433+G433))</f>
        <v/>
      </c>
      <c r="K433" s="2"/>
    </row>
    <row r="434" spans="1:11" x14ac:dyDescent="0.2">
      <c r="A434" s="2"/>
      <c r="B434" s="2"/>
      <c r="C434" s="2"/>
      <c r="D434" s="2"/>
      <c r="E434" s="2"/>
      <c r="F434" s="2"/>
      <c r="G434" s="2"/>
      <c r="H434" s="2" t="str">
        <f>IF(B434="","",D434*Paramètres!$B$2+E434*Paramètres!$B$3+F434+G434*(1+Paramètres!$B$5/100))</f>
        <v/>
      </c>
      <c r="I434" s="2"/>
      <c r="J434" s="2" t="str">
        <f>IF(I434="","",I434-(D434*Paramètres!$B$2+E434*Paramètres!$B$3+F434+G434))</f>
        <v/>
      </c>
      <c r="K434" s="2"/>
    </row>
    <row r="435" spans="1:11" x14ac:dyDescent="0.2">
      <c r="A435" s="2"/>
      <c r="B435" s="2"/>
      <c r="C435" s="2"/>
      <c r="D435" s="2"/>
      <c r="E435" s="2"/>
      <c r="F435" s="2"/>
      <c r="G435" s="2"/>
      <c r="H435" s="2" t="str">
        <f>IF(B435="","",D435*Paramètres!$B$2+E435*Paramètres!$B$3+F435+G435*(1+Paramètres!$B$5/100))</f>
        <v/>
      </c>
      <c r="I435" s="2"/>
      <c r="J435" s="2" t="str">
        <f>IF(I435="","",I435-(D435*Paramètres!$B$2+E435*Paramètres!$B$3+F435+G435))</f>
        <v/>
      </c>
      <c r="K435" s="2"/>
    </row>
    <row r="436" spans="1:11" x14ac:dyDescent="0.2">
      <c r="A436" s="2"/>
      <c r="B436" s="2"/>
      <c r="C436" s="2"/>
      <c r="D436" s="2"/>
      <c r="E436" s="2"/>
      <c r="F436" s="2"/>
      <c r="G436" s="2"/>
      <c r="H436" s="2" t="str">
        <f>IF(B436="","",D436*Paramètres!$B$2+E436*Paramètres!$B$3+F436+G436*(1+Paramètres!$B$5/100))</f>
        <v/>
      </c>
      <c r="I436" s="2"/>
      <c r="J436" s="2" t="str">
        <f>IF(I436="","",I436-(D436*Paramètres!$B$2+E436*Paramètres!$B$3+F436+G436))</f>
        <v/>
      </c>
      <c r="K436" s="2"/>
    </row>
    <row r="437" spans="1:11" x14ac:dyDescent="0.2">
      <c r="A437" s="2"/>
      <c r="B437" s="2"/>
      <c r="C437" s="2"/>
      <c r="D437" s="2"/>
      <c r="E437" s="2"/>
      <c r="F437" s="2"/>
      <c r="G437" s="2"/>
      <c r="H437" s="2" t="str">
        <f>IF(B437="","",D437*Paramètres!$B$2+E437*Paramètres!$B$3+F437+G437*(1+Paramètres!$B$5/100))</f>
        <v/>
      </c>
      <c r="I437" s="2"/>
      <c r="J437" s="2" t="str">
        <f>IF(I437="","",I437-(D437*Paramètres!$B$2+E437*Paramètres!$B$3+F437+G437))</f>
        <v/>
      </c>
      <c r="K437" s="2"/>
    </row>
    <row r="438" spans="1:11" x14ac:dyDescent="0.2">
      <c r="A438" s="2"/>
      <c r="B438" s="2"/>
      <c r="C438" s="2"/>
      <c r="D438" s="2"/>
      <c r="E438" s="2"/>
      <c r="F438" s="2"/>
      <c r="G438" s="2"/>
      <c r="H438" s="2" t="str">
        <f>IF(B438="","",D438*Paramètres!$B$2+E438*Paramètres!$B$3+F438+G438*(1+Paramètres!$B$5/100))</f>
        <v/>
      </c>
      <c r="I438" s="2"/>
      <c r="J438" s="2" t="str">
        <f>IF(I438="","",I438-(D438*Paramètres!$B$2+E438*Paramètres!$B$3+F438+G438))</f>
        <v/>
      </c>
      <c r="K438" s="2"/>
    </row>
    <row r="439" spans="1:11" x14ac:dyDescent="0.2">
      <c r="A439" s="2"/>
      <c r="B439" s="2"/>
      <c r="C439" s="2"/>
      <c r="D439" s="2"/>
      <c r="E439" s="2"/>
      <c r="F439" s="2"/>
      <c r="G439" s="2"/>
      <c r="H439" s="2" t="str">
        <f>IF(B439="","",D439*Paramètres!$B$2+E439*Paramètres!$B$3+F439+G439*(1+Paramètres!$B$5/100))</f>
        <v/>
      </c>
      <c r="I439" s="2"/>
      <c r="J439" s="2" t="str">
        <f>IF(I439="","",I439-(D439*Paramètres!$B$2+E439*Paramètres!$B$3+F439+G439))</f>
        <v/>
      </c>
      <c r="K439" s="2"/>
    </row>
    <row r="440" spans="1:11" x14ac:dyDescent="0.2">
      <c r="A440" s="2"/>
      <c r="B440" s="2"/>
      <c r="C440" s="2"/>
      <c r="D440" s="2"/>
      <c r="E440" s="2"/>
      <c r="F440" s="2"/>
      <c r="G440" s="2"/>
      <c r="H440" s="2" t="str">
        <f>IF(B440="","",D440*Paramètres!$B$2+E440*Paramètres!$B$3+F440+G440*(1+Paramètres!$B$5/100))</f>
        <v/>
      </c>
      <c r="I440" s="2"/>
      <c r="J440" s="2" t="str">
        <f>IF(I440="","",I440-(D440*Paramètres!$B$2+E440*Paramètres!$B$3+F440+G440))</f>
        <v/>
      </c>
      <c r="K440" s="2"/>
    </row>
    <row r="441" spans="1:11" x14ac:dyDescent="0.2">
      <c r="A441" s="2"/>
      <c r="B441" s="2"/>
      <c r="C441" s="2"/>
      <c r="D441" s="2"/>
      <c r="E441" s="2"/>
      <c r="F441" s="2"/>
      <c r="G441" s="2"/>
      <c r="H441" s="2" t="str">
        <f>IF(B441="","",D441*Paramètres!$B$2+E441*Paramètres!$B$3+F441+G441*(1+Paramètres!$B$5/100))</f>
        <v/>
      </c>
      <c r="I441" s="2"/>
      <c r="J441" s="2" t="str">
        <f>IF(I441="","",I441-(D441*Paramètres!$B$2+E441*Paramètres!$B$3+F441+G441))</f>
        <v/>
      </c>
      <c r="K441" s="2"/>
    </row>
    <row r="442" spans="1:11" x14ac:dyDescent="0.2">
      <c r="A442" s="2"/>
      <c r="B442" s="2"/>
      <c r="C442" s="2"/>
      <c r="D442" s="2"/>
      <c r="E442" s="2"/>
      <c r="F442" s="2"/>
      <c r="G442" s="2"/>
      <c r="H442" s="2" t="str">
        <f>IF(B442="","",D442*Paramètres!$B$2+E442*Paramètres!$B$3+F442+G442*(1+Paramètres!$B$5/100))</f>
        <v/>
      </c>
      <c r="I442" s="2"/>
      <c r="J442" s="2" t="str">
        <f>IF(I442="","",I442-(D442*Paramètres!$B$2+E442*Paramètres!$B$3+F442+G442))</f>
        <v/>
      </c>
      <c r="K442" s="2"/>
    </row>
    <row r="443" spans="1:11" x14ac:dyDescent="0.2">
      <c r="A443" s="2"/>
      <c r="B443" s="2"/>
      <c r="C443" s="2"/>
      <c r="D443" s="2"/>
      <c r="E443" s="2"/>
      <c r="F443" s="2"/>
      <c r="G443" s="2"/>
      <c r="H443" s="2" t="str">
        <f>IF(B443="","",D443*Paramètres!$B$2+E443*Paramètres!$B$3+F443+G443*(1+Paramètres!$B$5/100))</f>
        <v/>
      </c>
      <c r="I443" s="2"/>
      <c r="J443" s="2" t="str">
        <f>IF(I443="","",I443-(D443*Paramètres!$B$2+E443*Paramètres!$B$3+F443+G443))</f>
        <v/>
      </c>
      <c r="K443" s="2"/>
    </row>
    <row r="444" spans="1:11" x14ac:dyDescent="0.2">
      <c r="A444" s="2"/>
      <c r="B444" s="2"/>
      <c r="C444" s="2"/>
      <c r="D444" s="2"/>
      <c r="E444" s="2"/>
      <c r="F444" s="2"/>
      <c r="G444" s="2"/>
      <c r="H444" s="2" t="str">
        <f>IF(B444="","",D444*Paramètres!$B$2+E444*Paramètres!$B$3+F444+G444*(1+Paramètres!$B$5/100))</f>
        <v/>
      </c>
      <c r="I444" s="2"/>
      <c r="J444" s="2" t="str">
        <f>IF(I444="","",I444-(D444*Paramètres!$B$2+E444*Paramètres!$B$3+F444+G444))</f>
        <v/>
      </c>
      <c r="K444" s="2"/>
    </row>
    <row r="445" spans="1:11" x14ac:dyDescent="0.2">
      <c r="A445" s="2"/>
      <c r="B445" s="2"/>
      <c r="C445" s="2"/>
      <c r="D445" s="2"/>
      <c r="E445" s="2"/>
      <c r="F445" s="2"/>
      <c r="G445" s="2"/>
      <c r="H445" s="2" t="str">
        <f>IF(B445="","",D445*Paramètres!$B$2+E445*Paramètres!$B$3+F445+G445*(1+Paramètres!$B$5/100))</f>
        <v/>
      </c>
      <c r="I445" s="2"/>
      <c r="J445" s="2" t="str">
        <f>IF(I445="","",I445-(D445*Paramètres!$B$2+E445*Paramètres!$B$3+F445+G445))</f>
        <v/>
      </c>
      <c r="K445" s="2"/>
    </row>
    <row r="446" spans="1:11" x14ac:dyDescent="0.2">
      <c r="A446" s="2"/>
      <c r="B446" s="2"/>
      <c r="C446" s="2"/>
      <c r="D446" s="2"/>
      <c r="E446" s="2"/>
      <c r="F446" s="2"/>
      <c r="G446" s="2"/>
      <c r="H446" s="2" t="str">
        <f>IF(B446="","",D446*Paramètres!$B$2+E446*Paramètres!$B$3+F446+G446*(1+Paramètres!$B$5/100))</f>
        <v/>
      </c>
      <c r="I446" s="2"/>
      <c r="J446" s="2" t="str">
        <f>IF(I446="","",I446-(D446*Paramètres!$B$2+E446*Paramètres!$B$3+F446+G446))</f>
        <v/>
      </c>
      <c r="K446" s="2"/>
    </row>
    <row r="447" spans="1:11" x14ac:dyDescent="0.2">
      <c r="A447" s="2"/>
      <c r="B447" s="2"/>
      <c r="C447" s="2"/>
      <c r="D447" s="2"/>
      <c r="E447" s="2"/>
      <c r="F447" s="2"/>
      <c r="G447" s="2"/>
      <c r="H447" s="2" t="str">
        <f>IF(B447="","",D447*Paramètres!$B$2+E447*Paramètres!$B$3+F447+G447*(1+Paramètres!$B$5/100))</f>
        <v/>
      </c>
      <c r="I447" s="2"/>
      <c r="J447" s="2" t="str">
        <f>IF(I447="","",I447-(D447*Paramètres!$B$2+E447*Paramètres!$B$3+F447+G447))</f>
        <v/>
      </c>
      <c r="K447" s="2"/>
    </row>
    <row r="448" spans="1:11" x14ac:dyDescent="0.2">
      <c r="A448" s="2"/>
      <c r="B448" s="2"/>
      <c r="C448" s="2"/>
      <c r="D448" s="2"/>
      <c r="E448" s="2"/>
      <c r="F448" s="2"/>
      <c r="G448" s="2"/>
      <c r="H448" s="2" t="str">
        <f>IF(B448="","",D448*Paramètres!$B$2+E448*Paramètres!$B$3+F448+G448*(1+Paramètres!$B$5/100))</f>
        <v/>
      </c>
      <c r="I448" s="2"/>
      <c r="J448" s="2" t="str">
        <f>IF(I448="","",I448-(D448*Paramètres!$B$2+E448*Paramètres!$B$3+F448+G448))</f>
        <v/>
      </c>
      <c r="K448" s="2"/>
    </row>
    <row r="449" spans="1:11" x14ac:dyDescent="0.2">
      <c r="A449" s="2"/>
      <c r="B449" s="2"/>
      <c r="C449" s="2"/>
      <c r="D449" s="2"/>
      <c r="E449" s="2"/>
      <c r="F449" s="2"/>
      <c r="G449" s="2"/>
      <c r="H449" s="2" t="str">
        <f>IF(B449="","",D449*Paramètres!$B$2+E449*Paramètres!$B$3+F449+G449*(1+Paramètres!$B$5/100))</f>
        <v/>
      </c>
      <c r="I449" s="2"/>
      <c r="J449" s="2" t="str">
        <f>IF(I449="","",I449-(D449*Paramètres!$B$2+E449*Paramètres!$B$3+F449+G449))</f>
        <v/>
      </c>
      <c r="K449" s="2"/>
    </row>
    <row r="450" spans="1:11" x14ac:dyDescent="0.2">
      <c r="A450" s="2"/>
      <c r="B450" s="2"/>
      <c r="C450" s="2"/>
      <c r="D450" s="2"/>
      <c r="E450" s="2"/>
      <c r="F450" s="2"/>
      <c r="G450" s="2"/>
      <c r="H450" s="2" t="str">
        <f>IF(B450="","",D450*Paramètres!$B$2+E450*Paramètres!$B$3+F450+G450*(1+Paramètres!$B$5/100))</f>
        <v/>
      </c>
      <c r="I450" s="2"/>
      <c r="J450" s="2" t="str">
        <f>IF(I450="","",I450-(D450*Paramètres!$B$2+E450*Paramètres!$B$3+F450+G450))</f>
        <v/>
      </c>
      <c r="K450" s="2"/>
    </row>
    <row r="451" spans="1:11" x14ac:dyDescent="0.2">
      <c r="A451" s="2"/>
      <c r="B451" s="2"/>
      <c r="C451" s="2"/>
      <c r="D451" s="2"/>
      <c r="E451" s="2"/>
      <c r="F451" s="2"/>
      <c r="G451" s="2"/>
      <c r="H451" s="2" t="str">
        <f>IF(B451="","",D451*Paramètres!$B$2+E451*Paramètres!$B$3+F451+G451*(1+Paramètres!$B$5/100))</f>
        <v/>
      </c>
      <c r="I451" s="2"/>
      <c r="J451" s="2" t="str">
        <f>IF(I451="","",I451-(D451*Paramètres!$B$2+E451*Paramètres!$B$3+F451+G451))</f>
        <v/>
      </c>
      <c r="K451" s="2"/>
    </row>
    <row r="452" spans="1:11" x14ac:dyDescent="0.2">
      <c r="A452" s="2"/>
      <c r="B452" s="2"/>
      <c r="C452" s="2"/>
      <c r="D452" s="2"/>
      <c r="E452" s="2"/>
      <c r="F452" s="2"/>
      <c r="G452" s="2"/>
      <c r="H452" s="2" t="str">
        <f>IF(B452="","",D452*Paramètres!$B$2+E452*Paramètres!$B$3+F452+G452*(1+Paramètres!$B$5/100))</f>
        <v/>
      </c>
      <c r="I452" s="2"/>
      <c r="J452" s="2" t="str">
        <f>IF(I452="","",I452-(D452*Paramètres!$B$2+E452*Paramètres!$B$3+F452+G452))</f>
        <v/>
      </c>
      <c r="K452" s="2"/>
    </row>
    <row r="453" spans="1:11" x14ac:dyDescent="0.2">
      <c r="A453" s="2"/>
      <c r="B453" s="2"/>
      <c r="C453" s="2"/>
      <c r="D453" s="2"/>
      <c r="E453" s="2"/>
      <c r="F453" s="2"/>
      <c r="G453" s="2"/>
      <c r="H453" s="2" t="str">
        <f>IF(B453="","",D453*Paramètres!$B$2+E453*Paramètres!$B$3+F453+G453*(1+Paramètres!$B$5/100))</f>
        <v/>
      </c>
      <c r="I453" s="2"/>
      <c r="J453" s="2" t="str">
        <f>IF(I453="","",I453-(D453*Paramètres!$B$2+E453*Paramètres!$B$3+F453+G453))</f>
        <v/>
      </c>
      <c r="K453" s="2"/>
    </row>
    <row r="454" spans="1:11" x14ac:dyDescent="0.2">
      <c r="A454" s="2"/>
      <c r="B454" s="2"/>
      <c r="C454" s="2"/>
      <c r="D454" s="2"/>
      <c r="E454" s="2"/>
      <c r="F454" s="2"/>
      <c r="G454" s="2"/>
      <c r="H454" s="2" t="str">
        <f>IF(B454="","",D454*Paramètres!$B$2+E454*Paramètres!$B$3+F454+G454*(1+Paramètres!$B$5/100))</f>
        <v/>
      </c>
      <c r="I454" s="2"/>
      <c r="J454" s="2" t="str">
        <f>IF(I454="","",I454-(D454*Paramètres!$B$2+E454*Paramètres!$B$3+F454+G454))</f>
        <v/>
      </c>
      <c r="K454" s="2"/>
    </row>
    <row r="455" spans="1:11" x14ac:dyDescent="0.2">
      <c r="A455" s="2"/>
      <c r="B455" s="2"/>
      <c r="C455" s="2"/>
      <c r="D455" s="2"/>
      <c r="E455" s="2"/>
      <c r="F455" s="2"/>
      <c r="G455" s="2"/>
      <c r="H455" s="2" t="str">
        <f>IF(B455="","",D455*Paramètres!$B$2+E455*Paramètres!$B$3+F455+G455*(1+Paramètres!$B$5/100))</f>
        <v/>
      </c>
      <c r="I455" s="2"/>
      <c r="J455" s="2" t="str">
        <f>IF(I455="","",I455-(D455*Paramètres!$B$2+E455*Paramètres!$B$3+F455+G455))</f>
        <v/>
      </c>
      <c r="K455" s="2"/>
    </row>
    <row r="456" spans="1:11" x14ac:dyDescent="0.2">
      <c r="A456" s="2"/>
      <c r="B456" s="2"/>
      <c r="C456" s="2"/>
      <c r="D456" s="2"/>
      <c r="E456" s="2"/>
      <c r="F456" s="2"/>
      <c r="G456" s="2"/>
      <c r="H456" s="2" t="str">
        <f>IF(B456="","",D456*Paramètres!$B$2+E456*Paramètres!$B$3+F456+G456*(1+Paramètres!$B$5/100))</f>
        <v/>
      </c>
      <c r="I456" s="2"/>
      <c r="J456" s="2" t="str">
        <f>IF(I456="","",I456-(D456*Paramètres!$B$2+E456*Paramètres!$B$3+F456+G456))</f>
        <v/>
      </c>
      <c r="K456" s="2"/>
    </row>
    <row r="457" spans="1:11" x14ac:dyDescent="0.2">
      <c r="A457" s="2"/>
      <c r="B457" s="2"/>
      <c r="C457" s="2"/>
      <c r="D457" s="2"/>
      <c r="E457" s="2"/>
      <c r="F457" s="2"/>
      <c r="G457" s="2"/>
      <c r="H457" s="2" t="str">
        <f>IF(B457="","",D457*Paramètres!$B$2+E457*Paramètres!$B$3+F457+G457*(1+Paramètres!$B$5/100))</f>
        <v/>
      </c>
      <c r="I457" s="2"/>
      <c r="J457" s="2" t="str">
        <f>IF(I457="","",I457-(D457*Paramètres!$B$2+E457*Paramètres!$B$3+F457+G457))</f>
        <v/>
      </c>
      <c r="K457" s="2"/>
    </row>
    <row r="458" spans="1:11" x14ac:dyDescent="0.2">
      <c r="A458" s="2"/>
      <c r="B458" s="2"/>
      <c r="C458" s="2"/>
      <c r="D458" s="2"/>
      <c r="E458" s="2"/>
      <c r="F458" s="2"/>
      <c r="G458" s="2"/>
      <c r="H458" s="2" t="str">
        <f>IF(B458="","",D458*Paramètres!$B$2+E458*Paramètres!$B$3+F458+G458*(1+Paramètres!$B$5/100))</f>
        <v/>
      </c>
      <c r="I458" s="2"/>
      <c r="J458" s="2" t="str">
        <f>IF(I458="","",I458-(D458*Paramètres!$B$2+E458*Paramètres!$B$3+F458+G458))</f>
        <v/>
      </c>
      <c r="K458" s="2"/>
    </row>
    <row r="459" spans="1:11" x14ac:dyDescent="0.2">
      <c r="A459" s="2"/>
      <c r="B459" s="2"/>
      <c r="C459" s="2"/>
      <c r="D459" s="2"/>
      <c r="E459" s="2"/>
      <c r="F459" s="2"/>
      <c r="G459" s="2"/>
      <c r="H459" s="2" t="str">
        <f>IF(B459="","",D459*Paramètres!$B$2+E459*Paramètres!$B$3+F459+G459*(1+Paramètres!$B$5/100))</f>
        <v/>
      </c>
      <c r="I459" s="2"/>
      <c r="J459" s="2" t="str">
        <f>IF(I459="","",I459-(D459*Paramètres!$B$2+E459*Paramètres!$B$3+F459+G459))</f>
        <v/>
      </c>
      <c r="K459" s="2"/>
    </row>
    <row r="460" spans="1:11" x14ac:dyDescent="0.2">
      <c r="A460" s="2"/>
      <c r="B460" s="2"/>
      <c r="C460" s="2"/>
      <c r="D460" s="2"/>
      <c r="E460" s="2"/>
      <c r="F460" s="2"/>
      <c r="G460" s="2"/>
      <c r="H460" s="2" t="str">
        <f>IF(B460="","",D460*Paramètres!$B$2+E460*Paramètres!$B$3+F460+G460*(1+Paramètres!$B$5/100))</f>
        <v/>
      </c>
      <c r="I460" s="2"/>
      <c r="J460" s="2" t="str">
        <f>IF(I460="","",I460-(D460*Paramètres!$B$2+E460*Paramètres!$B$3+F460+G460))</f>
        <v/>
      </c>
      <c r="K460" s="2"/>
    </row>
    <row r="461" spans="1:11" x14ac:dyDescent="0.2">
      <c r="A461" s="2"/>
      <c r="B461" s="2"/>
      <c r="C461" s="2"/>
      <c r="D461" s="2"/>
      <c r="E461" s="2"/>
      <c r="F461" s="2"/>
      <c r="G461" s="2"/>
      <c r="H461" s="2" t="str">
        <f>IF(B461="","",D461*Paramètres!$B$2+E461*Paramètres!$B$3+F461+G461*(1+Paramètres!$B$5/100))</f>
        <v/>
      </c>
      <c r="I461" s="2"/>
      <c r="J461" s="2" t="str">
        <f>IF(I461="","",I461-(D461*Paramètres!$B$2+E461*Paramètres!$B$3+F461+G461))</f>
        <v/>
      </c>
      <c r="K461" s="2"/>
    </row>
    <row r="462" spans="1:11" x14ac:dyDescent="0.2">
      <c r="A462" s="2"/>
      <c r="B462" s="2"/>
      <c r="C462" s="2"/>
      <c r="D462" s="2"/>
      <c r="E462" s="2"/>
      <c r="F462" s="2"/>
      <c r="G462" s="2"/>
      <c r="H462" s="2" t="str">
        <f>IF(B462="","",D462*Paramètres!$B$2+E462*Paramètres!$B$3+F462+G462*(1+Paramètres!$B$5/100))</f>
        <v/>
      </c>
      <c r="I462" s="2"/>
      <c r="J462" s="2" t="str">
        <f>IF(I462="","",I462-(D462*Paramètres!$B$2+E462*Paramètres!$B$3+F462+G462))</f>
        <v/>
      </c>
      <c r="K462" s="2"/>
    </row>
    <row r="463" spans="1:11" x14ac:dyDescent="0.2">
      <c r="A463" s="2"/>
      <c r="B463" s="2"/>
      <c r="C463" s="2"/>
      <c r="D463" s="2"/>
      <c r="E463" s="2"/>
      <c r="F463" s="2"/>
      <c r="G463" s="2"/>
      <c r="H463" s="2" t="str">
        <f>IF(B463="","",D463*Paramètres!$B$2+E463*Paramètres!$B$3+F463+G463*(1+Paramètres!$B$5/100))</f>
        <v/>
      </c>
      <c r="I463" s="2"/>
      <c r="J463" s="2" t="str">
        <f>IF(I463="","",I463-(D463*Paramètres!$B$2+E463*Paramètres!$B$3+F463+G463))</f>
        <v/>
      </c>
      <c r="K463" s="2"/>
    </row>
    <row r="464" spans="1:11" x14ac:dyDescent="0.2">
      <c r="A464" s="2"/>
      <c r="B464" s="2"/>
      <c r="C464" s="2"/>
      <c r="D464" s="2"/>
      <c r="E464" s="2"/>
      <c r="F464" s="2"/>
      <c r="G464" s="2"/>
      <c r="H464" s="2" t="str">
        <f>IF(B464="","",D464*Paramètres!$B$2+E464*Paramètres!$B$3+F464+G464*(1+Paramètres!$B$5/100))</f>
        <v/>
      </c>
      <c r="I464" s="2"/>
      <c r="J464" s="2" t="str">
        <f>IF(I464="","",I464-(D464*Paramètres!$B$2+E464*Paramètres!$B$3+F464+G464))</f>
        <v/>
      </c>
      <c r="K464" s="2"/>
    </row>
    <row r="465" spans="1:11" x14ac:dyDescent="0.2">
      <c r="A465" s="2"/>
      <c r="B465" s="2"/>
      <c r="C465" s="2"/>
      <c r="D465" s="2"/>
      <c r="E465" s="2"/>
      <c r="F465" s="2"/>
      <c r="G465" s="2"/>
      <c r="H465" s="2" t="str">
        <f>IF(B465="","",D465*Paramètres!$B$2+E465*Paramètres!$B$3+F465+G465*(1+Paramètres!$B$5/100))</f>
        <v/>
      </c>
      <c r="I465" s="2"/>
      <c r="J465" s="2" t="str">
        <f>IF(I465="","",I465-(D465*Paramètres!$B$2+E465*Paramètres!$B$3+F465+G465))</f>
        <v/>
      </c>
      <c r="K465" s="2"/>
    </row>
    <row r="466" spans="1:11" x14ac:dyDescent="0.2">
      <c r="A466" s="2"/>
      <c r="B466" s="2"/>
      <c r="C466" s="2"/>
      <c r="D466" s="2"/>
      <c r="E466" s="2"/>
      <c r="F466" s="2"/>
      <c r="G466" s="2"/>
      <c r="H466" s="2" t="str">
        <f>IF(B466="","",D466*Paramètres!$B$2+E466*Paramètres!$B$3+F466+G466*(1+Paramètres!$B$5/100))</f>
        <v/>
      </c>
      <c r="I466" s="2"/>
      <c r="J466" s="2" t="str">
        <f>IF(I466="","",I466-(D466*Paramètres!$B$2+E466*Paramètres!$B$3+F466+G466))</f>
        <v/>
      </c>
      <c r="K466" s="2"/>
    </row>
    <row r="467" spans="1:11" x14ac:dyDescent="0.2">
      <c r="A467" s="2"/>
      <c r="B467" s="2"/>
      <c r="C467" s="2"/>
      <c r="D467" s="2"/>
      <c r="E467" s="2"/>
      <c r="F467" s="2"/>
      <c r="G467" s="2"/>
      <c r="H467" s="2" t="str">
        <f>IF(B467="","",D467*Paramètres!$B$2+E467*Paramètres!$B$3+F467+G467*(1+Paramètres!$B$5/100))</f>
        <v/>
      </c>
      <c r="I467" s="2"/>
      <c r="J467" s="2" t="str">
        <f>IF(I467="","",I467-(D467*Paramètres!$B$2+E467*Paramètres!$B$3+F467+G467))</f>
        <v/>
      </c>
      <c r="K467" s="2"/>
    </row>
    <row r="468" spans="1:11" x14ac:dyDescent="0.2">
      <c r="A468" s="2"/>
      <c r="B468" s="2"/>
      <c r="C468" s="2"/>
      <c r="D468" s="2"/>
      <c r="E468" s="2"/>
      <c r="F468" s="2"/>
      <c r="G468" s="2"/>
      <c r="H468" s="2" t="str">
        <f>IF(B468="","",D468*Paramètres!$B$2+E468*Paramètres!$B$3+F468+G468*(1+Paramètres!$B$5/100))</f>
        <v/>
      </c>
      <c r="I468" s="2"/>
      <c r="J468" s="2" t="str">
        <f>IF(I468="","",I468-(D468*Paramètres!$B$2+E468*Paramètres!$B$3+F468+G468))</f>
        <v/>
      </c>
      <c r="K468" s="2"/>
    </row>
    <row r="469" spans="1:11" x14ac:dyDescent="0.2">
      <c r="A469" s="2"/>
      <c r="B469" s="2"/>
      <c r="C469" s="2"/>
      <c r="D469" s="2"/>
      <c r="E469" s="2"/>
      <c r="F469" s="2"/>
      <c r="G469" s="2"/>
      <c r="H469" s="2" t="str">
        <f>IF(B469="","",D469*Paramètres!$B$2+E469*Paramètres!$B$3+F469+G469*(1+Paramètres!$B$5/100))</f>
        <v/>
      </c>
      <c r="I469" s="2"/>
      <c r="J469" s="2" t="str">
        <f>IF(I469="","",I469-(D469*Paramètres!$B$2+E469*Paramètres!$B$3+F469+G469))</f>
        <v/>
      </c>
      <c r="K469" s="2"/>
    </row>
    <row r="470" spans="1:11" x14ac:dyDescent="0.2">
      <c r="A470" s="2"/>
      <c r="B470" s="2"/>
      <c r="C470" s="2"/>
      <c r="D470" s="2"/>
      <c r="E470" s="2"/>
      <c r="F470" s="2"/>
      <c r="G470" s="2"/>
      <c r="H470" s="2" t="str">
        <f>IF(B470="","",D470*Paramètres!$B$2+E470*Paramètres!$B$3+F470+G470*(1+Paramètres!$B$5/100))</f>
        <v/>
      </c>
      <c r="I470" s="2"/>
      <c r="J470" s="2" t="str">
        <f>IF(I470="","",I470-(D470*Paramètres!$B$2+E470*Paramètres!$B$3+F470+G470))</f>
        <v/>
      </c>
      <c r="K470" s="2"/>
    </row>
    <row r="471" spans="1:11" x14ac:dyDescent="0.2">
      <c r="A471" s="2"/>
      <c r="B471" s="2"/>
      <c r="C471" s="2"/>
      <c r="D471" s="2"/>
      <c r="E471" s="2"/>
      <c r="F471" s="2"/>
      <c r="G471" s="2"/>
      <c r="H471" s="2" t="str">
        <f>IF(B471="","",D471*Paramètres!$B$2+E471*Paramètres!$B$3+F471+G471*(1+Paramètres!$B$5/100))</f>
        <v/>
      </c>
      <c r="I471" s="2"/>
      <c r="J471" s="2" t="str">
        <f>IF(I471="","",I471-(D471*Paramètres!$B$2+E471*Paramètres!$B$3+F471+G471))</f>
        <v/>
      </c>
      <c r="K471" s="2"/>
    </row>
    <row r="472" spans="1:11" x14ac:dyDescent="0.2">
      <c r="A472" s="2"/>
      <c r="B472" s="2"/>
      <c r="C472" s="2"/>
      <c r="D472" s="2"/>
      <c r="E472" s="2"/>
      <c r="F472" s="2"/>
      <c r="G472" s="2"/>
      <c r="H472" s="2" t="str">
        <f>IF(B472="","",D472*Paramètres!$B$2+E472*Paramètres!$B$3+F472+G472*(1+Paramètres!$B$5/100))</f>
        <v/>
      </c>
      <c r="I472" s="2"/>
      <c r="J472" s="2" t="str">
        <f>IF(I472="","",I472-(D472*Paramètres!$B$2+E472*Paramètres!$B$3+F472+G472))</f>
        <v/>
      </c>
      <c r="K472" s="2"/>
    </row>
    <row r="473" spans="1:11" x14ac:dyDescent="0.2">
      <c r="A473" s="2"/>
      <c r="B473" s="2"/>
      <c r="C473" s="2"/>
      <c r="D473" s="2"/>
      <c r="E473" s="2"/>
      <c r="F473" s="2"/>
      <c r="G473" s="2"/>
      <c r="H473" s="2" t="str">
        <f>IF(B473="","",D473*Paramètres!$B$2+E473*Paramètres!$B$3+F473+G473*(1+Paramètres!$B$5/100))</f>
        <v/>
      </c>
      <c r="I473" s="2"/>
      <c r="J473" s="2" t="str">
        <f>IF(I473="","",I473-(D473*Paramètres!$B$2+E473*Paramètres!$B$3+F473+G473))</f>
        <v/>
      </c>
      <c r="K473" s="2"/>
    </row>
    <row r="474" spans="1:11" x14ac:dyDescent="0.2">
      <c r="A474" s="2"/>
      <c r="B474" s="2"/>
      <c r="C474" s="2"/>
      <c r="D474" s="2"/>
      <c r="E474" s="2"/>
      <c r="F474" s="2"/>
      <c r="G474" s="2"/>
      <c r="H474" s="2" t="str">
        <f>IF(B474="","",D474*Paramètres!$B$2+E474*Paramètres!$B$3+F474+G474*(1+Paramètres!$B$5/100))</f>
        <v/>
      </c>
      <c r="I474" s="2"/>
      <c r="J474" s="2" t="str">
        <f>IF(I474="","",I474-(D474*Paramètres!$B$2+E474*Paramètres!$B$3+F474+G474))</f>
        <v/>
      </c>
      <c r="K474" s="2"/>
    </row>
    <row r="475" spans="1:11" x14ac:dyDescent="0.2">
      <c r="A475" s="2"/>
      <c r="B475" s="2"/>
      <c r="C475" s="2"/>
      <c r="D475" s="2"/>
      <c r="E475" s="2"/>
      <c r="F475" s="2"/>
      <c r="G475" s="2"/>
      <c r="H475" s="2" t="str">
        <f>IF(B475="","",D475*Paramètres!$B$2+E475*Paramètres!$B$3+F475+G475*(1+Paramètres!$B$5/100))</f>
        <v/>
      </c>
      <c r="I475" s="2"/>
      <c r="J475" s="2" t="str">
        <f>IF(I475="","",I475-(D475*Paramètres!$B$2+E475*Paramètres!$B$3+F475+G475))</f>
        <v/>
      </c>
      <c r="K475" s="2"/>
    </row>
    <row r="476" spans="1:11" x14ac:dyDescent="0.2">
      <c r="A476" s="2"/>
      <c r="B476" s="2"/>
      <c r="C476" s="2"/>
      <c r="D476" s="2"/>
      <c r="E476" s="2"/>
      <c r="F476" s="2"/>
      <c r="G476" s="2"/>
      <c r="H476" s="2" t="str">
        <f>IF(B476="","",D476*Paramètres!$B$2+E476*Paramètres!$B$3+F476+G476*(1+Paramètres!$B$5/100))</f>
        <v/>
      </c>
      <c r="I476" s="2"/>
      <c r="J476" s="2" t="str">
        <f>IF(I476="","",I476-(D476*Paramètres!$B$2+E476*Paramètres!$B$3+F476+G476))</f>
        <v/>
      </c>
      <c r="K476" s="2"/>
    </row>
    <row r="477" spans="1:11" x14ac:dyDescent="0.2">
      <c r="A477" s="2"/>
      <c r="B477" s="2"/>
      <c r="C477" s="2"/>
      <c r="D477" s="2"/>
      <c r="E477" s="2"/>
      <c r="F477" s="2"/>
      <c r="G477" s="2"/>
      <c r="H477" s="2" t="str">
        <f>IF(B477="","",D477*Paramètres!$B$2+E477*Paramètres!$B$3+F477+G477*(1+Paramètres!$B$5/100))</f>
        <v/>
      </c>
      <c r="I477" s="2"/>
      <c r="J477" s="2" t="str">
        <f>IF(I477="","",I477-(D477*Paramètres!$B$2+E477*Paramètres!$B$3+F477+G477))</f>
        <v/>
      </c>
      <c r="K477" s="2"/>
    </row>
    <row r="478" spans="1:11" x14ac:dyDescent="0.2">
      <c r="A478" s="2"/>
      <c r="B478" s="2"/>
      <c r="C478" s="2"/>
      <c r="D478" s="2"/>
      <c r="E478" s="2"/>
      <c r="F478" s="2"/>
      <c r="G478" s="2"/>
      <c r="H478" s="2" t="str">
        <f>IF(B478="","",D478*Paramètres!$B$2+E478*Paramètres!$B$3+F478+G478*(1+Paramètres!$B$5/100))</f>
        <v/>
      </c>
      <c r="I478" s="2"/>
      <c r="J478" s="2" t="str">
        <f>IF(I478="","",I478-(D478*Paramètres!$B$2+E478*Paramètres!$B$3+F478+G478))</f>
        <v/>
      </c>
      <c r="K478" s="2"/>
    </row>
    <row r="479" spans="1:11" x14ac:dyDescent="0.2">
      <c r="A479" s="2"/>
      <c r="B479" s="2"/>
      <c r="C479" s="2"/>
      <c r="D479" s="2"/>
      <c r="E479" s="2"/>
      <c r="F479" s="2"/>
      <c r="G479" s="2"/>
      <c r="H479" s="2" t="str">
        <f>IF(B479="","",D479*Paramètres!$B$2+E479*Paramètres!$B$3+F479+G479*(1+Paramètres!$B$5/100))</f>
        <v/>
      </c>
      <c r="I479" s="2"/>
      <c r="J479" s="2" t="str">
        <f>IF(I479="","",I479-(D479*Paramètres!$B$2+E479*Paramètres!$B$3+F479+G479))</f>
        <v/>
      </c>
      <c r="K479" s="2"/>
    </row>
    <row r="480" spans="1:11" x14ac:dyDescent="0.2">
      <c r="A480" s="2"/>
      <c r="B480" s="2"/>
      <c r="C480" s="2"/>
      <c r="D480" s="2"/>
      <c r="E480" s="2"/>
      <c r="F480" s="2"/>
      <c r="G480" s="2"/>
      <c r="H480" s="2" t="str">
        <f>IF(B480="","",D480*Paramètres!$B$2+E480*Paramètres!$B$3+F480+G480*(1+Paramètres!$B$5/100))</f>
        <v/>
      </c>
      <c r="I480" s="2"/>
      <c r="J480" s="2" t="str">
        <f>IF(I480="","",I480-(D480*Paramètres!$B$2+E480*Paramètres!$B$3+F480+G480))</f>
        <v/>
      </c>
      <c r="K480" s="2"/>
    </row>
    <row r="481" spans="1:11" x14ac:dyDescent="0.2">
      <c r="A481" s="2"/>
      <c r="B481" s="2"/>
      <c r="C481" s="2"/>
      <c r="D481" s="2"/>
      <c r="E481" s="2"/>
      <c r="F481" s="2"/>
      <c r="G481" s="2"/>
      <c r="H481" s="2" t="str">
        <f>IF(B481="","",D481*Paramètres!$B$2+E481*Paramètres!$B$3+F481+G481*(1+Paramètres!$B$5/100))</f>
        <v/>
      </c>
      <c r="I481" s="2"/>
      <c r="J481" s="2" t="str">
        <f>IF(I481="","",I481-(D481*Paramètres!$B$2+E481*Paramètres!$B$3+F481+G481))</f>
        <v/>
      </c>
      <c r="K481" s="2"/>
    </row>
    <row r="482" spans="1:11" x14ac:dyDescent="0.2">
      <c r="A482" s="2"/>
      <c r="B482" s="2"/>
      <c r="C482" s="2"/>
      <c r="D482" s="2"/>
      <c r="E482" s="2"/>
      <c r="F482" s="2"/>
      <c r="G482" s="2"/>
      <c r="H482" s="2" t="str">
        <f>IF(B482="","",D482*Paramètres!$B$2+E482*Paramètres!$B$3+F482+G482*(1+Paramètres!$B$5/100))</f>
        <v/>
      </c>
      <c r="I482" s="2"/>
      <c r="J482" s="2" t="str">
        <f>IF(I482="","",I482-(D482*Paramètres!$B$2+E482*Paramètres!$B$3+F482+G482))</f>
        <v/>
      </c>
      <c r="K482" s="2"/>
    </row>
    <row r="483" spans="1:11" x14ac:dyDescent="0.2">
      <c r="A483" s="2"/>
      <c r="B483" s="2"/>
      <c r="C483" s="2"/>
      <c r="D483" s="2"/>
      <c r="E483" s="2"/>
      <c r="F483" s="2"/>
      <c r="G483" s="2"/>
      <c r="H483" s="2" t="str">
        <f>IF(B483="","",D483*Paramètres!$B$2+E483*Paramètres!$B$3+F483+G483*(1+Paramètres!$B$5/100))</f>
        <v/>
      </c>
      <c r="I483" s="2"/>
      <c r="J483" s="2" t="str">
        <f>IF(I483="","",I483-(D483*Paramètres!$B$2+E483*Paramètres!$B$3+F483+G483))</f>
        <v/>
      </c>
      <c r="K483" s="2"/>
    </row>
    <row r="484" spans="1:11" x14ac:dyDescent="0.2">
      <c r="A484" s="2"/>
      <c r="B484" s="2"/>
      <c r="C484" s="2"/>
      <c r="D484" s="2"/>
      <c r="E484" s="2"/>
      <c r="F484" s="2"/>
      <c r="G484" s="2"/>
      <c r="H484" s="2" t="str">
        <f>IF(B484="","",D484*Paramètres!$B$2+E484*Paramètres!$B$3+F484+G484*(1+Paramètres!$B$5/100))</f>
        <v/>
      </c>
      <c r="I484" s="2"/>
      <c r="J484" s="2" t="str">
        <f>IF(I484="","",I484-(D484*Paramètres!$B$2+E484*Paramètres!$B$3+F484+G484))</f>
        <v/>
      </c>
      <c r="K484" s="2"/>
    </row>
    <row r="485" spans="1:11" x14ac:dyDescent="0.2">
      <c r="A485" s="2"/>
      <c r="B485" s="2"/>
      <c r="C485" s="2"/>
      <c r="D485" s="2"/>
      <c r="E485" s="2"/>
      <c r="F485" s="2"/>
      <c r="G485" s="2"/>
      <c r="H485" s="2" t="str">
        <f>IF(B485="","",D485*Paramètres!$B$2+E485*Paramètres!$B$3+F485+G485*(1+Paramètres!$B$5/100))</f>
        <v/>
      </c>
      <c r="I485" s="2"/>
      <c r="J485" s="2" t="str">
        <f>IF(I485="","",I485-(D485*Paramètres!$B$2+E485*Paramètres!$B$3+F485+G485))</f>
        <v/>
      </c>
      <c r="K485" s="2"/>
    </row>
    <row r="486" spans="1:11" x14ac:dyDescent="0.2">
      <c r="A486" s="2"/>
      <c r="B486" s="2"/>
      <c r="C486" s="2"/>
      <c r="D486" s="2"/>
      <c r="E486" s="2"/>
      <c r="F486" s="2"/>
      <c r="G486" s="2"/>
      <c r="H486" s="2" t="str">
        <f>IF(B486="","",D486*Paramètres!$B$2+E486*Paramètres!$B$3+F486+G486*(1+Paramètres!$B$5/100))</f>
        <v/>
      </c>
      <c r="I486" s="2"/>
      <c r="J486" s="2" t="str">
        <f>IF(I486="","",I486-(D486*Paramètres!$B$2+E486*Paramètres!$B$3+F486+G486))</f>
        <v/>
      </c>
      <c r="K486" s="2"/>
    </row>
    <row r="487" spans="1:11" x14ac:dyDescent="0.2">
      <c r="A487" s="2"/>
      <c r="B487" s="2"/>
      <c r="C487" s="2"/>
      <c r="D487" s="2"/>
      <c r="E487" s="2"/>
      <c r="F487" s="2"/>
      <c r="G487" s="2"/>
      <c r="H487" s="2" t="str">
        <f>IF(B487="","",D487*Paramètres!$B$2+E487*Paramètres!$B$3+F487+G487*(1+Paramètres!$B$5/100))</f>
        <v/>
      </c>
      <c r="I487" s="2"/>
      <c r="J487" s="2" t="str">
        <f>IF(I487="","",I487-(D487*Paramètres!$B$2+E487*Paramètres!$B$3+F487+G487))</f>
        <v/>
      </c>
      <c r="K487" s="2"/>
    </row>
    <row r="488" spans="1:11" x14ac:dyDescent="0.2">
      <c r="A488" s="2"/>
      <c r="B488" s="2"/>
      <c r="C488" s="2"/>
      <c r="D488" s="2"/>
      <c r="E488" s="2"/>
      <c r="F488" s="2"/>
      <c r="G488" s="2"/>
      <c r="H488" s="2" t="str">
        <f>IF(B488="","",D488*Paramètres!$B$2+E488*Paramètres!$B$3+F488+G488*(1+Paramètres!$B$5/100))</f>
        <v/>
      </c>
      <c r="I488" s="2"/>
      <c r="J488" s="2" t="str">
        <f>IF(I488="","",I488-(D488*Paramètres!$B$2+E488*Paramètres!$B$3+F488+G488))</f>
        <v/>
      </c>
      <c r="K488" s="2"/>
    </row>
    <row r="489" spans="1:11" x14ac:dyDescent="0.2">
      <c r="A489" s="2"/>
      <c r="B489" s="2"/>
      <c r="C489" s="2"/>
      <c r="D489" s="2"/>
      <c r="E489" s="2"/>
      <c r="F489" s="2"/>
      <c r="G489" s="2"/>
      <c r="H489" s="2" t="str">
        <f>IF(B489="","",D489*Paramètres!$B$2+E489*Paramètres!$B$3+F489+G489*(1+Paramètres!$B$5/100))</f>
        <v/>
      </c>
      <c r="I489" s="2"/>
      <c r="J489" s="2" t="str">
        <f>IF(I489="","",I489-(D489*Paramètres!$B$2+E489*Paramètres!$B$3+F489+G489))</f>
        <v/>
      </c>
      <c r="K489" s="2"/>
    </row>
    <row r="490" spans="1:11" x14ac:dyDescent="0.2">
      <c r="A490" s="2"/>
      <c r="B490" s="2"/>
      <c r="C490" s="2"/>
      <c r="D490" s="2"/>
      <c r="E490" s="2"/>
      <c r="F490" s="2"/>
      <c r="G490" s="2"/>
      <c r="H490" s="2" t="str">
        <f>IF(B490="","",D490*Paramètres!$B$2+E490*Paramètres!$B$3+F490+G490*(1+Paramètres!$B$5/100))</f>
        <v/>
      </c>
      <c r="I490" s="2"/>
      <c r="J490" s="2" t="str">
        <f>IF(I490="","",I490-(D490*Paramètres!$B$2+E490*Paramètres!$B$3+F490+G490))</f>
        <v/>
      </c>
      <c r="K490" s="2"/>
    </row>
    <row r="491" spans="1:11" x14ac:dyDescent="0.2">
      <c r="A491" s="2"/>
      <c r="B491" s="2"/>
      <c r="C491" s="2"/>
      <c r="D491" s="2"/>
      <c r="E491" s="2"/>
      <c r="F491" s="2"/>
      <c r="G491" s="2"/>
      <c r="H491" s="2" t="str">
        <f>IF(B491="","",D491*Paramètres!$B$2+E491*Paramètres!$B$3+F491+G491*(1+Paramètres!$B$5/100))</f>
        <v/>
      </c>
      <c r="I491" s="2"/>
      <c r="J491" s="2" t="str">
        <f>IF(I491="","",I491-(D491*Paramètres!$B$2+E491*Paramètres!$B$3+F491+G491))</f>
        <v/>
      </c>
      <c r="K491" s="2"/>
    </row>
    <row r="492" spans="1:11" x14ac:dyDescent="0.2">
      <c r="A492" s="2"/>
      <c r="B492" s="2"/>
      <c r="C492" s="2"/>
      <c r="D492" s="2"/>
      <c r="E492" s="2"/>
      <c r="F492" s="2"/>
      <c r="G492" s="2"/>
      <c r="H492" s="2" t="str">
        <f>IF(B492="","",D492*Paramètres!$B$2+E492*Paramètres!$B$3+F492+G492*(1+Paramètres!$B$5/100))</f>
        <v/>
      </c>
      <c r="I492" s="2"/>
      <c r="J492" s="2" t="str">
        <f>IF(I492="","",I492-(D492*Paramètres!$B$2+E492*Paramètres!$B$3+F492+G492))</f>
        <v/>
      </c>
      <c r="K492" s="2"/>
    </row>
    <row r="493" spans="1:11" x14ac:dyDescent="0.2">
      <c r="A493" s="2"/>
      <c r="B493" s="2"/>
      <c r="C493" s="2"/>
      <c r="D493" s="2"/>
      <c r="E493" s="2"/>
      <c r="F493" s="2"/>
      <c r="G493" s="2"/>
      <c r="H493" s="2" t="str">
        <f>IF(B493="","",D493*Paramètres!$B$2+E493*Paramètres!$B$3+F493+G493*(1+Paramètres!$B$5/100))</f>
        <v/>
      </c>
      <c r="I493" s="2"/>
      <c r="J493" s="2" t="str">
        <f>IF(I493="","",I493-(D493*Paramètres!$B$2+E493*Paramètres!$B$3+F493+G493))</f>
        <v/>
      </c>
      <c r="K493" s="2"/>
    </row>
    <row r="494" spans="1:11" x14ac:dyDescent="0.2">
      <c r="A494" s="2"/>
      <c r="B494" s="2"/>
      <c r="C494" s="2"/>
      <c r="D494" s="2"/>
      <c r="E494" s="2"/>
      <c r="F494" s="2"/>
      <c r="G494" s="2"/>
      <c r="H494" s="2" t="str">
        <f>IF(B494="","",D494*Paramètres!$B$2+E494*Paramètres!$B$3+F494+G494*(1+Paramètres!$B$5/100))</f>
        <v/>
      </c>
      <c r="I494" s="2"/>
      <c r="J494" s="2" t="str">
        <f>IF(I494="","",I494-(D494*Paramètres!$B$2+E494*Paramètres!$B$3+F494+G494))</f>
        <v/>
      </c>
      <c r="K494" s="2"/>
    </row>
    <row r="495" spans="1:11" x14ac:dyDescent="0.2">
      <c r="A495" s="2"/>
      <c r="B495" s="2"/>
      <c r="C495" s="2"/>
      <c r="D495" s="2"/>
      <c r="E495" s="2"/>
      <c r="F495" s="2"/>
      <c r="G495" s="2"/>
      <c r="H495" s="2" t="str">
        <f>IF(B495="","",D495*Paramètres!$B$2+E495*Paramètres!$B$3+F495+G495*(1+Paramètres!$B$5/100))</f>
        <v/>
      </c>
      <c r="I495" s="2"/>
      <c r="J495" s="2" t="str">
        <f>IF(I495="","",I495-(D495*Paramètres!$B$2+E495*Paramètres!$B$3+F495+G495))</f>
        <v/>
      </c>
      <c r="K495" s="2"/>
    </row>
    <row r="496" spans="1:11" x14ac:dyDescent="0.2">
      <c r="A496" s="2"/>
      <c r="B496" s="2"/>
      <c r="C496" s="2"/>
      <c r="D496" s="2"/>
      <c r="E496" s="2"/>
      <c r="F496" s="2"/>
      <c r="G496" s="2"/>
      <c r="H496" s="2" t="str">
        <f>IF(B496="","",D496*Paramètres!$B$2+E496*Paramètres!$B$3+F496+G496*(1+Paramètres!$B$5/100))</f>
        <v/>
      </c>
      <c r="I496" s="2"/>
      <c r="J496" s="2" t="str">
        <f>IF(I496="","",I496-(D496*Paramètres!$B$2+E496*Paramètres!$B$3+F496+G496))</f>
        <v/>
      </c>
      <c r="K496" s="2"/>
    </row>
    <row r="497" spans="1:11" x14ac:dyDescent="0.2">
      <c r="A497" s="2"/>
      <c r="B497" s="2"/>
      <c r="C497" s="2"/>
      <c r="D497" s="2"/>
      <c r="E497" s="2"/>
      <c r="F497" s="2"/>
      <c r="G497" s="2"/>
      <c r="H497" s="2" t="str">
        <f>IF(B497="","",D497*Paramètres!$B$2+E497*Paramètres!$B$3+F497+G497*(1+Paramètres!$B$5/100))</f>
        <v/>
      </c>
      <c r="I497" s="2"/>
      <c r="J497" s="2" t="str">
        <f>IF(I497="","",I497-(D497*Paramètres!$B$2+E497*Paramètres!$B$3+F497+G497))</f>
        <v/>
      </c>
      <c r="K497" s="2"/>
    </row>
    <row r="498" spans="1:11" x14ac:dyDescent="0.2">
      <c r="A498" s="2"/>
      <c r="B498" s="2"/>
      <c r="C498" s="2"/>
      <c r="D498" s="2"/>
      <c r="E498" s="2"/>
      <c r="F498" s="2"/>
      <c r="G498" s="2"/>
      <c r="H498" s="2" t="str">
        <f>IF(B498="","",D498*Paramètres!$B$2+E498*Paramètres!$B$3+F498+G498*(1+Paramètres!$B$5/100))</f>
        <v/>
      </c>
      <c r="I498" s="2"/>
      <c r="J498" s="2" t="str">
        <f>IF(I498="","",I498-(D498*Paramètres!$B$2+E498*Paramètres!$B$3+F498+G498))</f>
        <v/>
      </c>
      <c r="K498" s="2"/>
    </row>
    <row r="499" spans="1:11" x14ac:dyDescent="0.2">
      <c r="A499" s="2"/>
      <c r="B499" s="2"/>
      <c r="C499" s="2"/>
      <c r="D499" s="2"/>
      <c r="E499" s="2"/>
      <c r="F499" s="2"/>
      <c r="G499" s="2"/>
      <c r="H499" s="2" t="str">
        <f>IF(B499="","",D499*Paramètres!$B$2+E499*Paramètres!$B$3+F499+G499*(1+Paramètres!$B$5/100))</f>
        <v/>
      </c>
      <c r="I499" s="2"/>
      <c r="J499" s="2" t="str">
        <f>IF(I499="","",I499-(D499*Paramètres!$B$2+E499*Paramètres!$B$3+F499+G499))</f>
        <v/>
      </c>
      <c r="K499" s="2"/>
    </row>
    <row r="500" spans="1:11" x14ac:dyDescent="0.2">
      <c r="A500" s="2"/>
      <c r="B500" s="2"/>
      <c r="C500" s="2"/>
      <c r="D500" s="2"/>
      <c r="E500" s="2"/>
      <c r="F500" s="2"/>
      <c r="G500" s="2"/>
      <c r="H500" s="2" t="str">
        <f>IF(B500="","",D500*Paramètres!$B$2+E500*Paramètres!$B$3+F500+G500*(1+Paramètres!$B$5/100))</f>
        <v/>
      </c>
      <c r="I500" s="2"/>
      <c r="J500" s="2" t="str">
        <f>IF(I500="","",I500-(D500*Paramètres!$B$2+E500*Paramètres!$B$3+F500+G500))</f>
        <v/>
      </c>
      <c r="K500" s="2"/>
    </row>
    <row r="501" spans="1:11" x14ac:dyDescent="0.2">
      <c r="A501" s="2"/>
      <c r="B501" s="2"/>
      <c r="C501" s="2"/>
      <c r="D501" s="2"/>
      <c r="E501" s="2"/>
      <c r="F501" s="2"/>
      <c r="G501" s="2"/>
      <c r="H501" s="2" t="str">
        <f>IF(B501="","",D501*Paramètres!$B$2+E501*Paramètres!$B$3+F501+G501*(1+Paramètres!$B$5/100))</f>
        <v/>
      </c>
      <c r="I501" s="2"/>
      <c r="J501" s="2" t="str">
        <f>IF(I501="","",I501-(D501*Paramètres!$B$2+E501*Paramètres!$B$3+F501+G501))</f>
        <v/>
      </c>
      <c r="K501" s="2"/>
    </row>
  </sheetData>
  <autoFilter ref="A1:K500"/>
  <dataValidations count="1">
    <dataValidation type="list" allowBlank="1" sqref="K2:K500">
      <formula1>"Brouillon,Envoyé,Accepté,Refusé,Terminé"</formula1>
    </dataValidation>
  </dataValidations>
  <pageMargins left="0.75" right="0.75" top="1" bottom="1" header="0.5" footer="0.5"/>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Views>
    <sheetView showGridLines="0" topLeftCell="B1" workbookViewId="0">
      <selection pane="topLeft" activeCell="A1"/>
    </sheetView>
  </sheetViews>
  <sheetFormatPr baseColWidth="8" defaultRowHeight="15"/>
  <cols>
    <col min="1" max="4" width="16.0078125" customWidth="1"/>
  </cols>
  <sheetData>
    <row r="1" spans="1:4" x14ac:dyDescent="0.2">
      <c r="A1" s="1" t="s">
        <v>85</v>
      </c>
      <c r="B1" s="1" t="s">
        <v>86</v>
      </c>
      <c r="C1" s="1" t="s">
        <v>87</v>
      </c>
      <c r="D1" s="1" t="s">
        <v>88</v>
      </c>
    </row>
    <row r="2" spans="1:4" x14ac:dyDescent="0.2">
      <c r="A2" s="2" t="s">
        <v>89</v>
      </c>
      <c r="B2" s="2"/>
      <c r="C2" s="2">
        <f>Paramètres!$B$7</f>
        <v>4167</v>
      </c>
      <c r="D2" s="2">
        <f>B2-C2</f>
        <v>-4167</v>
      </c>
    </row>
    <row r="3" spans="1:4" x14ac:dyDescent="0.2">
      <c r="A3" s="2" t="s">
        <v>90</v>
      </c>
      <c r="B3" s="2"/>
      <c r="C3" s="2">
        <f>Paramètres!$B$7</f>
        <v>4167</v>
      </c>
      <c r="D3" s="2">
        <f>B3-C3</f>
        <v>-4167</v>
      </c>
    </row>
    <row r="4" spans="1:4" x14ac:dyDescent="0.2">
      <c r="A4" s="2" t="s">
        <v>91</v>
      </c>
      <c r="B4" s="2"/>
      <c r="C4" s="2">
        <f>Paramètres!$B$7</f>
        <v>4167</v>
      </c>
      <c r="D4" s="2">
        <f>B4-C4</f>
        <v>-4167</v>
      </c>
    </row>
    <row r="5" spans="1:4" x14ac:dyDescent="0.2">
      <c r="A5" s="2" t="s">
        <v>92</v>
      </c>
      <c r="B5" s="2"/>
      <c r="C5" s="2">
        <f>Paramètres!$B$7</f>
        <v>4167</v>
      </c>
      <c r="D5" s="2">
        <f>B5-C5</f>
        <v>-4167</v>
      </c>
    </row>
    <row r="6" spans="1:4" x14ac:dyDescent="0.2">
      <c r="A6" s="2" t="s">
        <v>93</v>
      </c>
      <c r="B6" s="2"/>
      <c r="C6" s="2">
        <f>Paramètres!$B$7</f>
        <v>4167</v>
      </c>
      <c r="D6" s="2">
        <f>B6-C6</f>
        <v>-4167</v>
      </c>
    </row>
    <row r="7" spans="1:4" x14ac:dyDescent="0.2">
      <c r="A7" s="2" t="s">
        <v>94</v>
      </c>
      <c r="B7" s="2"/>
      <c r="C7" s="2">
        <f>Paramètres!$B$7</f>
        <v>4167</v>
      </c>
      <c r="D7" s="2">
        <f>B7-C7</f>
        <v>-4167</v>
      </c>
    </row>
    <row r="8" spans="1:4" x14ac:dyDescent="0.2">
      <c r="A8" s="2" t="s">
        <v>95</v>
      </c>
      <c r="B8" s="2"/>
      <c r="C8" s="2">
        <f>Paramètres!$B$7</f>
        <v>4167</v>
      </c>
      <c r="D8" s="2">
        <f>B8-C8</f>
        <v>-4167</v>
      </c>
    </row>
    <row r="9" spans="1:4" x14ac:dyDescent="0.2">
      <c r="A9" s="2" t="s">
        <v>96</v>
      </c>
      <c r="B9" s="2"/>
      <c r="C9" s="2">
        <f>Paramètres!$B$7</f>
        <v>4167</v>
      </c>
      <c r="D9" s="2">
        <f>B9-C9</f>
        <v>-4167</v>
      </c>
    </row>
    <row r="10" spans="1:4" x14ac:dyDescent="0.2">
      <c r="A10" s="2" t="s">
        <v>97</v>
      </c>
      <c r="B10" s="2"/>
      <c r="C10" s="2">
        <f>Paramètres!$B$7</f>
        <v>4167</v>
      </c>
      <c r="D10" s="2">
        <f>B10-C10</f>
        <v>-4167</v>
      </c>
    </row>
    <row r="11" spans="1:4" x14ac:dyDescent="0.2">
      <c r="A11" s="2" t="s">
        <v>98</v>
      </c>
      <c r="B11" s="2"/>
      <c r="C11" s="2">
        <f>Paramètres!$B$7</f>
        <v>4167</v>
      </c>
      <c r="D11" s="2">
        <f>B11-C11</f>
        <v>-4167</v>
      </c>
    </row>
    <row r="12" spans="1:4" x14ac:dyDescent="0.2">
      <c r="A12" s="2" t="s">
        <v>99</v>
      </c>
      <c r="B12" s="2"/>
      <c r="C12" s="2">
        <f>Paramètres!$B$7</f>
        <v>4167</v>
      </c>
      <c r="D12" s="2">
        <f>B12-C12</f>
        <v>-4167</v>
      </c>
    </row>
    <row r="13" spans="1:4" x14ac:dyDescent="0.2">
      <c r="A13" s="2" t="s">
        <v>100</v>
      </c>
      <c r="B13" s="2"/>
      <c r="C13" s="2">
        <f>Paramètres!$B$7</f>
        <v>4167</v>
      </c>
      <c r="D13" s="2">
        <f>B13-C13</f>
        <v>-4167</v>
      </c>
    </row>
    <row r="14" spans="1:4" x14ac:dyDescent="0.2">
      <c r="A14" s="2"/>
      <c r="B14" s="2"/>
      <c r="C14" s="2"/>
      <c r="D14" s="2"/>
    </row>
    <row r="15" spans="1:4" x14ac:dyDescent="0.2">
      <c r="A15" s="2" t="s">
        <v>101</v>
      </c>
      <c r="B15" s="3">
        <f>SUM(B2:B13)</f>
        <v>0</v>
      </c>
      <c r="C15" s="3">
        <f>SUM(C2:C13)</f>
        <v>50004</v>
      </c>
      <c r="D15" s="3">
        <f>B15-C15</f>
        <v>-50004</v>
      </c>
    </row>
  </sheetData>
  <pageMargins left="0.75" right="0.75" top="1" bottom="1" header="0.5" footer="0.5"/>
  <drawing r:id="rId1"/>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Views>
    <sheetView showGridLines="0" workbookViewId="0">
      <pane ySplit="1" topLeftCell="A2" activePane="bottomLeft" state="frozen"/>
      <selection pane="bottomLeft"/>
    </sheetView>
  </sheetViews>
  <sheetFormatPr baseColWidth="8" defaultRowHeight="15"/>
  <cols>
    <col min="1" max="6" width="22.05859375" customWidth="1"/>
  </cols>
  <sheetData>
    <row r="1" spans="1:6" x14ac:dyDescent="0.2">
      <c r="A1" s="1" t="s">
        <v>102</v>
      </c>
      <c r="B1" s="1" t="s">
        <v>103</v>
      </c>
      <c r="C1" s="1" t="s">
        <v>104</v>
      </c>
      <c r="D1" s="1" t="s">
        <v>105</v>
      </c>
      <c r="E1" s="1" t="s">
        <v>106</v>
      </c>
      <c r="F1" s="1" t="s">
        <v>76</v>
      </c>
    </row>
  </sheetData>
  <autoFilter ref="A1:F1000"/>
  <dataValidations count="1">
    <dataValidation type="list" allowBlank="1" sqref="B2:B1000">
      <formula1>"Carburant,Duster,Assurance,Remorque,Déchèterie,Matériel,Communication,Téléphone,Comptabilité,Autre"</formula1>
    </dataValidation>
  </dataValidations>
  <pageMargins left="0.75" right="0.75" top="1" bottom="1" header="0.5" footer="0.5"/>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Views>
    <sheetView showGridLines="0" topLeftCell="A4" workbookViewId="0">
      <selection pane="topLeft" activeCell="A1"/>
    </sheetView>
  </sheetViews>
  <sheetFormatPr baseColWidth="8" defaultRowHeight="15"/>
  <cols>
    <col min="1" max="1" width="29.99609375" customWidth="1"/>
    <col min="2" max="2" width="23.9453125" customWidth="1"/>
  </cols>
  <sheetData>
    <row ht="21" r="1" spans="1:2" x14ac:dyDescent="0.2">
      <c r="A1" s="6" t="s">
        <v>107</v>
      </c>
      <c r="B1" s="2"/>
    </row>
    <row r="2" spans="1:2" x14ac:dyDescent="0.2">
      <c r="A2" s="3" t="s">
        <v>48</v>
      </c>
      <c r="B2" s="7">
        <f>Paramètres!B6</f>
        <v>50000</v>
      </c>
    </row>
    <row r="3" spans="1:2" x14ac:dyDescent="0.2">
      <c r="A3" s="3" t="s">
        <v>108</v>
      </c>
      <c r="B3" s="7">
        <f>SUM('CA mensuel'!B2:B13)</f>
        <v>0</v>
      </c>
    </row>
    <row r="4" spans="1:2" x14ac:dyDescent="0.2">
      <c r="A4" s="3" t="s">
        <v>109</v>
      </c>
      <c r="B4" s="7">
        <f>B2-B3</f>
        <v>50000</v>
      </c>
    </row>
    <row r="5" spans="1:2" x14ac:dyDescent="0.2">
      <c r="A5" s="3" t="s">
        <v>110</v>
      </c>
      <c r="B5" s="7">
        <f>COUNTA(Clients!A2:A500)</f>
        <v>0</v>
      </c>
    </row>
    <row r="6" spans="1:2" x14ac:dyDescent="0.2">
      <c r="A6" s="3" t="s">
        <v>111</v>
      </c>
      <c r="B6" s="7">
        <f>COUNTA(Devis!A2:A500)</f>
        <v>0</v>
      </c>
    </row>
    <row r="7" spans="1:2" x14ac:dyDescent="0.2">
      <c r="A7" s="3" t="s">
        <v>112</v>
      </c>
      <c r="B7" s="7">
        <f>COUNTIF(Devis!K2:K500,"Accepté")</f>
        <v>0</v>
      </c>
    </row>
    <row r="8" spans="1:2" x14ac:dyDescent="0.2">
      <c r="A8" s="3" t="s">
        <v>113</v>
      </c>
      <c r="B8" s="8">
        <f>IF(B6=0,0,B7/B6)</f>
        <v>0</v>
      </c>
    </row>
    <row r="9" spans="1:2" x14ac:dyDescent="0.2">
      <c r="A9" s="3" t="s">
        <v>114</v>
      </c>
      <c r="B9" s="7">
        <f>SUM(Frais!D2:D1000)</f>
        <v>0</v>
      </c>
    </row>
    <row ht="54.75" r="11" spans="1:2" x14ac:dyDescent="0.2">
      <c r="A11" t="s">
        <v>66</v>
      </c>
      <c r="B11" s="11" t="s">
        <v>115</v>
      </c>
    </row>
  </sheetData>
  <pageMargins left="0.75" right="0.75" top="1" bottom="1" header="0.5" footer="0.5"/>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Views>
    <sheetView showGridLines="0" workbookViewId="0">
      <selection pane="topLeft" activeCell="B1" sqref="B1"/>
    </sheetView>
  </sheetViews>
  <sheetFormatPr baseColWidth="8" defaultRowHeight="15"/>
  <cols>
    <col min="1" max="1" width="27.98046875" customWidth="1"/>
    <col min="2" max="2" width="25.01953125" customWidth="1"/>
  </cols>
  <sheetData>
    <row r="1" spans="1:2" x14ac:dyDescent="0.2">
      <c r="A1" s="9" t="s">
        <v>116</v>
      </c>
      <c r="B1" s="9" t="s">
        <v>19</v>
      </c>
    </row>
    <row r="2" spans="1:2" x14ac:dyDescent="0.2">
      <c r="A2" t="s">
        <v>117</v>
      </c>
      <c r="B2" s="10">
        <v>600</v>
      </c>
    </row>
    <row r="3" spans="1:2" x14ac:dyDescent="0.2">
      <c r="A3" t="s">
        <v>118</v>
      </c>
      <c r="B3" s="10">
        <v>1.5</v>
      </c>
    </row>
    <row r="4" spans="1:2" x14ac:dyDescent="0.2">
      <c r="A4" t="s">
        <v>79</v>
      </c>
      <c r="B4" s="10">
        <v>20</v>
      </c>
    </row>
    <row r="5" spans="1:2" x14ac:dyDescent="0.2">
      <c r="A5" t="s">
        <v>80</v>
      </c>
      <c r="B5" s="10">
        <v>0</v>
      </c>
    </row>
    <row r="6" spans="1:2" x14ac:dyDescent="0.2">
      <c r="A6" t="s">
        <v>81</v>
      </c>
      <c r="B6" s="10">
        <v>0</v>
      </c>
    </row>
    <row r="8" spans="1:2" x14ac:dyDescent="0.2">
      <c r="A8" t="s">
        <v>119</v>
      </c>
      <c r="B8" s="0">
        <f>ROUND((B3*Paramètres!B2+B4*Paramètres!B3+B5+B6)*(1+Paramètres!B4/100)/5,0)*5</f>
        <v>95</v>
      </c>
    </row>
    <row r="9" spans="1:2" x14ac:dyDescent="0.2">
      <c r="A9" t="s">
        <v>120</v>
      </c>
      <c r="B9" s="0">
        <f>IF(B2=0,0,B8/B2)</f>
        <v>0.158333333333333</v>
      </c>
    </row>
  </sheetData>
  <pageMargins left="0.75" right="0.75" top="1" bottom="1" header="0.5" footer="0.5"/>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Views>
    <sheetView showGridLines="0" workbookViewId="0">
      <selection pane="topLeft" activeCell="A1"/>
    </sheetView>
  </sheetViews>
  <sheetFormatPr baseColWidth="8" defaultRowHeight="15"/>
  <cols>
    <col min="1" max="1" width="32.015625" customWidth="1"/>
    <col min="2" max="2" width="25.01953125" customWidth="1"/>
  </cols>
  <sheetData>
    <row r="1" spans="1:2" x14ac:dyDescent="0.2">
      <c r="A1" s="9" t="s">
        <v>121</v>
      </c>
      <c r="B1" s="9" t="s">
        <v>19</v>
      </c>
    </row>
    <row r="2" spans="1:2" x14ac:dyDescent="0.2">
      <c r="A2" t="s">
        <v>117</v>
      </c>
      <c r="B2" s="10">
        <v>500</v>
      </c>
    </row>
    <row r="3" spans="1:2" x14ac:dyDescent="0.2">
      <c r="A3" t="s">
        <v>118</v>
      </c>
      <c r="B3" s="10">
        <v>3</v>
      </c>
    </row>
    <row r="4" spans="1:2" x14ac:dyDescent="0.2">
      <c r="A4" t="s">
        <v>79</v>
      </c>
      <c r="B4" s="10">
        <v>20</v>
      </c>
    </row>
    <row r="5" spans="1:2" x14ac:dyDescent="0.2">
      <c r="A5" t="s">
        <v>80</v>
      </c>
      <c r="B5" s="10">
        <v>30</v>
      </c>
    </row>
    <row r="7" spans="1:2" x14ac:dyDescent="0.2">
      <c r="A7" t="s">
        <v>119</v>
      </c>
      <c r="B7" s="0">
        <f>ROUND((B3*Paramètres!B2+B4*Paramètres!B3+B5)*(1+Paramètres!B4/100)/5,0)*5</f>
        <v>210</v>
      </c>
    </row>
    <row r="8" spans="1:2" x14ac:dyDescent="0.2">
      <c r="A8" t="s">
        <v>120</v>
      </c>
      <c r="B8" s="0">
        <f>IF(B2=0,0,B7/B2)</f>
        <v>0.42</v>
      </c>
    </row>
  </sheetData>
  <pageMargins left="0.75" right="0.75" top="1" bottom="1" header="0.5" footer="0.5"/>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Views>
    <sheetView showGridLines="0" workbookViewId="0">
      <selection pane="topLeft" activeCell="A1"/>
    </sheetView>
  </sheetViews>
  <sheetFormatPr baseColWidth="8" defaultRowHeight="15"/>
  <cols>
    <col min="1" max="1" width="29.99609375" customWidth="1"/>
    <col min="2" max="2" width="25.01953125" customWidth="1"/>
  </cols>
  <sheetData>
    <row r="1" spans="1:2" x14ac:dyDescent="0.2">
      <c r="A1" s="9" t="s">
        <v>122</v>
      </c>
      <c r="B1" s="9" t="s">
        <v>19</v>
      </c>
    </row>
    <row r="2" spans="1:2" x14ac:dyDescent="0.2">
      <c r="A2" t="s">
        <v>81</v>
      </c>
      <c r="B2" s="10">
        <v>300</v>
      </c>
    </row>
    <row r="3" spans="1:2" x14ac:dyDescent="0.2">
      <c r="A3" t="s">
        <v>78</v>
      </c>
      <c r="B3" s="10">
        <v>3</v>
      </c>
    </row>
    <row r="4" spans="1:2" x14ac:dyDescent="0.2">
      <c r="A4" t="s">
        <v>79</v>
      </c>
      <c r="B4" s="10">
        <v>20</v>
      </c>
    </row>
    <row r="5" spans="1:2" x14ac:dyDescent="0.2">
      <c r="A5" t="s">
        <v>123</v>
      </c>
      <c r="B5" s="10">
        <v>30</v>
      </c>
    </row>
    <row r="7" spans="1:2" x14ac:dyDescent="0.2">
      <c r="A7" t="s">
        <v>119</v>
      </c>
      <c r="B7" s="0">
        <f>ROUND((B2*(1+Paramètres!B5/100)+B3*Paramètres!B2+B4*Paramètres!B3+B5)*(1+Paramètres!B4/100)/5,0)*5</f>
        <v>605</v>
      </c>
    </row>
  </sheetData>
  <pageMargins left="0.75" right="0.75" top="1" bottom="1" header="0.5" footer="0.5"/>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Views>
    <sheetView workbookViewId="0">
      <selection pane="topLeft" activeCell="A1"/>
    </sheetView>
  </sheetViews>
  <sheetFormatPr baseColWidth="8" defaultRowHeight="15"/>
  <cols>
    <col min="1" max="1" width="27.98046875" customWidth="1"/>
    <col min="2" max="2" width="34.03125" customWidth="1"/>
    <col min="3" max="3" width="18.0234375" customWidth="1"/>
    <col min="4" max="4" width="27.98046875" customWidth="1"/>
  </cols>
  <sheetData>
    <row r="1" spans="1:4" x14ac:dyDescent="0.2">
      <c r="A1" s="16" t="s">
        <v>124</v>
      </c>
      <c r="B1" s="16" t="s">
        <v>2</v>
      </c>
      <c r="C1" s="16" t="s">
        <v>3</v>
      </c>
      <c r="D1" s="16" t="s">
        <v>70</v>
      </c>
    </row>
  </sheetData>
  <pageMargins left="0.75" right="0.75" top="1" bottom="1" header="0.5" footer="0.5"/>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Views>
    <sheetView workbookViewId="0">
      <selection pane="topLeft" activeCell="A1"/>
    </sheetView>
  </sheetViews>
  <sheetFormatPr baseColWidth="8" defaultRowHeight="15"/>
  <sheetData>
    <row r="1" spans="1:5" x14ac:dyDescent="0.2">
      <c r="A1" s="16" t="s">
        <v>125</v>
      </c>
      <c r="B1" s="16" t="s">
        <v>102</v>
      </c>
      <c r="C1" s="16" t="s">
        <v>68</v>
      </c>
      <c r="D1" s="16" t="s">
        <v>126</v>
      </c>
      <c r="E1" s="16" t="s">
        <v>73</v>
      </c>
    </row>
  </sheetData>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formula1>"En attente,Accepté,Refusé"</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Feuilles de calcul</vt:lpstr>
      </vt:variant>
      <vt:variant>
        <vt:i4>14</vt:i4>
      </vt:variant>
    </vt:vector>
  </HeadingPairs>
  <TitlesOfParts>
    <vt:vector size="14" baseType="lpstr">
      <vt:lpstr>Mode Chantier V9</vt:lpstr>
      <vt:lpstr>Devis terrain</vt:lpstr>
      <vt:lpstr>Paramètres</vt:lpstr>
      <vt:lpstr>Calculette</vt:lpstr>
      <vt:lpstr>Clients</vt:lpstr>
      <vt:lpstr>Devis</vt:lpstr>
      <vt:lpstr>CA mensuel</vt:lpstr>
      <vt:lpstr>Frais</vt:lpstr>
      <vt:lpstr>Tableau de bord</vt:lpstr>
      <vt:lpstr>Tonte</vt:lpstr>
      <vt:lpstr>Débroussaillage</vt:lpstr>
      <vt:lpstr>Plantation</vt:lpstr>
      <vt:lpstr>Base Clients V9</vt:lpstr>
      <vt:lpstr>Suivi Devis V9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Wagnon Paysage</cp:lastModifiedBy>
  <cp:revision/>
  <dcterms:created xsi:type="dcterms:W3CDTF">2026-08-21T07:03:52Z</dcterms:created>
  <dcterms:modified xsi:type="dcterms:W3CDTF">2026-08-26T18:09:20Z</dcterms:modified>
  <cp:category/>
  <cp:contentStatus/>
</cp:coreProperties>
</file>